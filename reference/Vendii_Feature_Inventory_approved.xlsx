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Summary" sheetId="2" r:id="rId6"/>
    <sheet state="visible" name="Trading app" sheetId="3" r:id="rId7"/>
    <sheet state="visible" name="Lending app" sheetId="4" r:id="rId8"/>
    <sheet state="visible" name="Design principles" sheetId="5" r:id="rId9"/>
    <sheet state="visible" name="Sources" sheetId="6" r:id="rId10"/>
  </sheets>
  <definedNames>
    <definedName hidden="1" localSheetId="2" name="_xlnm._FilterDatabase">'Trading app'!$A$1:$J$120</definedName>
    <definedName hidden="1" localSheetId="3" name="_xlnm._FilterDatabase">'Lending app'!$A$1:$J$67</definedName>
  </definedNames>
  <calcPr/>
</workbook>
</file>

<file path=xl/sharedStrings.xml><?xml version="1.0" encoding="utf-8"?>
<sst xmlns="http://schemas.openxmlformats.org/spreadsheetml/2006/main" count="1918" uniqueCount="1124">
  <si>
    <t>ID</t>
  </si>
  <si>
    <t>Vendii feature inventory: trading app and share-backed lending app</t>
  </si>
  <si>
    <t>Feature count by tier</t>
  </si>
  <si>
    <t>Module</t>
  </si>
  <si>
    <t>Feature</t>
  </si>
  <si>
    <t>What it does</t>
  </si>
  <si>
    <t>Who does it well</t>
  </si>
  <si>
    <t>Nigeria adaptation</t>
  </si>
  <si>
    <t>Tier</t>
  </si>
  <si>
    <t>Suggested release</t>
  </si>
  <si>
    <t>Your call</t>
  </si>
  <si>
    <t>Prepared 7 Oct 2026 for Damilola's approval. Font: Space Grotesk.</t>
  </si>
  <si>
    <t>Trading app</t>
  </si>
  <si>
    <t>Lending app</t>
  </si>
  <si>
    <t>Your notes</t>
  </si>
  <si>
    <t>Total</t>
  </si>
  <si>
    <t>L001</t>
  </si>
  <si>
    <t>Eligibility &amp; offer</t>
  </si>
  <si>
    <t>How to use this</t>
  </si>
  <si>
    <t>Instant eligibility check</t>
  </si>
  <si>
    <t>User links holdings and sees the maximum loan in seconds, before applying.</t>
  </si>
  <si>
    <t>1</t>
  </si>
  <si>
    <t>T001</t>
  </si>
  <si>
    <t>Volt Money, Groww Credit</t>
  </si>
  <si>
    <t>Onboarding &amp; KYC</t>
  </si>
  <si>
    <t>Biggest single conversion lever. Show the number before asking for any documents.</t>
  </si>
  <si>
    <t>Go to 'Trading app' and 'Lending app'. Each row is one feature, with what it does, who does it well globally or locally, and how it changes for Nigeria.</t>
  </si>
  <si>
    <t>BVN + NIN check with selfie liveness</t>
  </si>
  <si>
    <t>Critical</t>
  </si>
  <si>
    <t>Verifies identity in a few minutes from BVN/NIN lookup and a selfie match.</t>
  </si>
  <si>
    <t>2</t>
  </si>
  <si>
    <t>Robinhood, Bamboo, Risevest</t>
  </si>
  <si>
    <t>Fill the yellow 'Your call' column with Approve, Reject, Later or Discuss (dropdown). Add anything in 'Your notes'.</t>
  </si>
  <si>
    <t>Name on BVN must match the bank account and the CSCS record, or trades and dividends break later. Check all three at signup.</t>
  </si>
  <si>
    <t>3</t>
  </si>
  <si>
    <t>Example: on Trading app row T001 pick 'Approve' and note 'Use Smile ID or Dojah, not in-house'.</t>
  </si>
  <si>
    <t>Launch (Mar 2027)</t>
  </si>
  <si>
    <t>4</t>
  </si>
  <si>
    <t>The 'Summary' tab counts features by tier and counts your approvals automatically.</t>
  </si>
  <si>
    <t>Launch (Nov 2026)</t>
  </si>
  <si>
    <t>5</t>
  </si>
  <si>
    <t>Tier and release are my recommendation. Release dates follow your roadmap: brokerage Nov 2026 / Feb 2027 / Mar 2027; lending Mar 2027 / May 2027 / Jul 2027.</t>
  </si>
  <si>
    <t>Tier definitions</t>
  </si>
  <si>
    <t>Can't launch, can't keep the licence, or users lose money without it.</t>
  </si>
  <si>
    <t>Approve</t>
  </si>
  <si>
    <t>T002</t>
  </si>
  <si>
    <t>L002</t>
  </si>
  <si>
    <t>Automatic CSCS account (CHN) opening</t>
  </si>
  <si>
    <t>Eligible securities list with advance rate per stock</t>
  </si>
  <si>
    <t>Opens the investor's clearing house number through the sponsoring broker with no paper forms.</t>
  </si>
  <si>
    <t>Meritrade (Meristem), Chaka</t>
  </si>
  <si>
    <t>Public list of accepted stocks and how much can be borrowed against each.</t>
  </si>
  <si>
    <t>Runs through Trust Bank Securities as sponsoring broker. Show 'CHN pending' status so users know why they can't trade yet.</t>
  </si>
  <si>
    <t>Schwab Advance Rate Lookup</t>
  </si>
  <si>
    <t>Start with liquid NGX names. Bank shares were barred from margin trading under the 2010 rules but can still back ordinary bank loans (CBN clarification).</t>
  </si>
  <si>
    <t>Difference maker</t>
  </si>
  <si>
    <t>T003</t>
  </si>
  <si>
    <t>The reason someone picks Vendii over Bamboo, Meritrade or VBank. Not table stakes.</t>
  </si>
  <si>
    <t>L003</t>
  </si>
  <si>
    <t>Suitability and risk questionnaire</t>
  </si>
  <si>
    <t>Loan calculator</t>
  </si>
  <si>
    <t>Captures experience, risk appetite and income band; flags products that don't fit.</t>
  </si>
  <si>
    <t>Amount, rate, tenor and total repayable on one screen.</t>
  </si>
  <si>
    <t>Jio Credit, Volt Money</t>
  </si>
  <si>
    <t>Schwab, Robinhood (options approval)</t>
  </si>
  <si>
    <t>Show interest in naira, not just a percentage.</t>
  </si>
  <si>
    <t>SEC Rule 76 requires digital sub-brokers to issue client suitability notifications.</t>
  </si>
  <si>
    <t>Good</t>
  </si>
  <si>
    <t>Real value for users. Build soon after launch.</t>
  </si>
  <si>
    <t>L004</t>
  </si>
  <si>
    <t>Conservative valuation shown to the user</t>
  </si>
  <si>
    <t>Nice to have</t>
  </si>
  <si>
    <t>T004</t>
  </si>
  <si>
    <t>Collateral valued at the lower of a recent average price and today's price.</t>
  </si>
  <si>
    <t>Global IME Bank, Nepal (lower of 180-day average or market)</t>
  </si>
  <si>
    <t>Link an existing CHN and import holdings</t>
  </si>
  <si>
    <t>Protects against pumped thin NGX stocks and explains why the offer is lower than the portfolio value.</t>
  </si>
  <si>
    <t>A user who already owns Nigerian shares sees them in the app on day one.</t>
  </si>
  <si>
    <t>Schwab/IBKR account transfers (ACATS); rare in Nigeria</t>
  </si>
  <si>
    <t>Polish or a niche need. Build once the core works.</t>
  </si>
  <si>
    <t>Many Nigerians hold shares they forgot about through registrars or old brokers. This is the bridge from the dividend recovery base into brokerage.</t>
  </si>
  <si>
    <t>Not important</t>
  </si>
  <si>
    <t>Phase 2 (Feb 2027)</t>
  </si>
  <si>
    <t>L005</t>
  </si>
  <si>
    <t>Wrong fit for Nigeria or for Vendii's licences right now.</t>
  </si>
  <si>
    <t>Soft pre-qualification</t>
  </si>
  <si>
    <t>T005</t>
  </si>
  <si>
    <t>Indicative offer without a hard credit bureau enquiry.</t>
  </si>
  <si>
    <t>Many digital lenders</t>
  </si>
  <si>
    <t>Nah, just there</t>
  </si>
  <si>
    <t>Next-of-kin and beneficiary nomination</t>
  </si>
  <si>
    <t>Lets users explore without fear of hurting their credit file.</t>
  </si>
  <si>
    <t>User names who inherits the account and holdings.</t>
  </si>
  <si>
    <t>Schwab transfer-on-death beneficiaries</t>
  </si>
  <si>
    <t>Unclaimed dividends exist because holders die or vanish without a named heir. Prompt for this at signup and every year.</t>
  </si>
  <si>
    <t>Competitors have it. It looks good and changes nothing.</t>
  </si>
  <si>
    <t>Nigerian context that shaped the tiers (sourced; see Sources tab)</t>
  </si>
  <si>
    <t>L006</t>
  </si>
  <si>
    <t>Collateral</t>
  </si>
  <si>
    <t>Licence cost</t>
  </si>
  <si>
    <t>Electronic lien with investor OTP consent</t>
  </si>
  <si>
    <t>T006</t>
  </si>
  <si>
    <t>SEC raised digital sub-broker minimum capital to ₦100m on 16 Jan 2026. Brokers need ₦600m and broker-dealers ₦2bn. [S4]</t>
  </si>
  <si>
    <t>Lien placed on chosen shares in favour of the lender, approved by the user with an OTP.</t>
  </si>
  <si>
    <t>India CDSL/NSDL pledge flow</t>
  </si>
  <si>
    <t>Sub-broker duties</t>
  </si>
  <si>
    <t>Estate and deceased-holder transmission flow</t>
  </si>
  <si>
    <t>CSCS lien. Retail lien fees are set to be halved (reported Aug 2026).</t>
  </si>
  <si>
    <t>Rule 76 requires digital sub-brokers to have technology risk policies, security certifications and client suitability notifications. [S5]</t>
  </si>
  <si>
    <t>Executors upload probate or letters of administration and move shares to heirs.</t>
  </si>
  <si>
    <t>Retail bonds</t>
  </si>
  <si>
    <t>Schwab estate services</t>
  </si>
  <si>
    <t>FGN Savings Bond: ₦5,000 minimum, ₦50m maximum, monthly windows, quarterly coupons. September 2026 rates were 14.12% (2 years) and 15.12% (3 years). [S6]</t>
  </si>
  <si>
    <t>Reuses the estate claims workflow Vendii already runs for dividends.</t>
  </si>
  <si>
    <t>T-bills and FGN bonds</t>
  </si>
  <si>
    <t>Phase 3 (Mar 2027)</t>
  </si>
  <si>
    <t>Primary auctions need over ₦50m per subscription, so retail access runs through funds or partner dealers. [S7]</t>
  </si>
  <si>
    <t>L007</t>
  </si>
  <si>
    <t>CSCS liens</t>
  </si>
  <si>
    <t>Check shares are not already pledged</t>
  </si>
  <si>
    <t>CSCS is set to halve retail lien fees and scrap charges on transfers between immediate family (reported 26 Aug 2026; check whether it has taken effect). [S8]</t>
  </si>
  <si>
    <t>Confirms no existing lien before accepting collateral.</t>
  </si>
  <si>
    <t>Margin rules</t>
  </si>
  <si>
    <t>T007</t>
  </si>
  <si>
    <t>Standard collateral checks</t>
  </si>
  <si>
    <t>2010 rules: 120% maintenance margin, bank shares barred from margin trading, bank margin exposure capped at 10% of total loans. [S9] Bank shares can still back ordinary bank loans. [S10]</t>
  </si>
  <si>
    <t>Double-pledging is the main fraud risk.</t>
  </si>
  <si>
    <t>Local competitor</t>
  </si>
  <si>
    <t>Tiered KYC with limits</t>
  </si>
  <si>
    <t>VBank x Anchoria share-backed overdraft: up to ₦60m (individuals) or ₦300m (corporates), up to six months, 140% margin call and stop-loss trigger, Anchoria clients holding Tier 1 NGX shares only. [S11]</t>
  </si>
  <si>
    <t>Start small with BVN only; raise limits by adding NIN and address proof.</t>
  </si>
  <si>
    <t>Global lending model</t>
  </si>
  <si>
    <t>Most Nigerian fintechs (CBN tiered KYC practice)</t>
  </si>
  <si>
    <t>Schwab's Pledged Asset Line is non-purpose: proceeds can't buy securities, and Schwab may sell pledged assets without contacting the client. [S13] Volt Money in India embeds loans in other platforms through SDKs and reverses the lien on repayment. [S14]</t>
  </si>
  <si>
    <t>Utility bill upload is where most signups die. Let people invest ₦5,000 before asking for it.</t>
  </si>
  <si>
    <t>App market</t>
  </si>
  <si>
    <t>L008</t>
  </si>
  <si>
    <t>Bamboo passed 1M+ Play Store downloads; Meritrade (Meristem) offers NGX and NASD OTC access. [S1] Investors keep several apps because of reliability concerns. [S3]</t>
  </si>
  <si>
    <t>Concentration limits</t>
  </si>
  <si>
    <t>Not verified (confirm before building)</t>
  </si>
  <si>
    <t>Caps how much of a loan can rest on one stock.</t>
  </si>
  <si>
    <t>Schwab, IBKR risk rules</t>
  </si>
  <si>
    <t>Current NGX equity settlement cycle, trading hours and daily price limits.</t>
  </si>
  <si>
    <t>One NGX stock can gap down on a single announcement.</t>
  </si>
  <si>
    <t>Whether CSCS can place a lien in favour of a lender on shares held under any broker, and the steps involved.</t>
  </si>
  <si>
    <t>T008</t>
  </si>
  <si>
    <t>Status of the SEC/CBN revision of margin lending rules.</t>
  </si>
  <si>
    <t>Save-and-resume onboarding</t>
  </si>
  <si>
    <t>Nigerian consumer credit disclosure rules (CBN, FCCPC) and any cooling-off requirement.</t>
  </si>
  <si>
    <t>User can stop halfway and continue later, on any device.</t>
  </si>
  <si>
    <t>Most modern apps</t>
  </si>
  <si>
    <t>Tax treatment of share disposal gains under the 2025 tax reforms.</t>
  </si>
  <si>
    <t>Network drops and data costs make interrupted signups common.</t>
  </si>
  <si>
    <t>My headline calls</t>
  </si>
  <si>
    <t>Trading app: the wedge is not more assets than Bamboo. It's the stuff only Vendii can do: import forgotten holdings, recover unclaimed dividends, dividend tracking net of WHT, beneficiary nomination, and honest order status.</t>
  </si>
  <si>
    <t>Lending app: lending against shares held at any broker is the whole bet. VBank only lends to Anchoria clients. Confirm the CSCS lien mechanics first; if that fails, the product shrinks to Vendii-held shares only.</t>
  </si>
  <si>
    <t>T009</t>
  </si>
  <si>
    <t>L009</t>
  </si>
  <si>
    <t>Keep the lending app non-purpose (loans not for buying shares). Margin trading needs a broker-dealer with ₦2bn capital, so it stays in Backlog.</t>
  </si>
  <si>
    <t>Diaspora onboarding</t>
  </si>
  <si>
    <t>Thin-liquidity haircuts</t>
  </si>
  <si>
    <t>Nigerians abroad open accounts with BVN/NIN, passport and foreign address.</t>
  </si>
  <si>
    <t>Skip US stocks, crypto, social feeds and options for now. They're crowded, off-licence or both.</t>
  </si>
  <si>
    <t>Lower advance rates for stocks that trade little.</t>
  </si>
  <si>
    <t>Bamboo, Risevest diaspora users</t>
  </si>
  <si>
    <t>IBKR concentration and liquidity haircuts</t>
  </si>
  <si>
    <t>Large holder segment for inherited shares and estates. FX funding rules limit how they fund.</t>
  </si>
  <si>
    <t>A stock you can't sell in a margin call is not real collateral.</t>
  </si>
  <si>
    <t>T010</t>
  </si>
  <si>
    <t>L010</t>
  </si>
  <si>
    <t>Joint, minor (custodial) and corporate accounts</t>
  </si>
  <si>
    <t>Pledge shares held with any broker</t>
  </si>
  <si>
    <t>Accounts for couples, children and companies.</t>
  </si>
  <si>
    <t>Schwab custodial, Robinhood multiple accounts</t>
  </si>
  <si>
    <t>Borrow against NGX shares wherever they sit, not only at Vendii.</t>
  </si>
  <si>
    <t>Volt Money SDK model; locally VBank x Anchoria only serves Anchoria clients</t>
  </si>
  <si>
    <t>Parents saving for school fees want child accounts. Corporate needs CAC documents and signatory rules.</t>
  </si>
  <si>
    <t>The open gap from the five-market research. Depends on CSCS lien mechanics across brokers (not verified; confirm with CSCS and Trust Bank).</t>
  </si>
  <si>
    <t>L011</t>
  </si>
  <si>
    <t>Backlog</t>
  </si>
  <si>
    <t>Pledge shares still in certificate or registrar form</t>
  </si>
  <si>
    <t>Later</t>
  </si>
  <si>
    <t>Help users dematerialise old holdings into CSCS so they can be pledged.</t>
  </si>
  <si>
    <t>None found</t>
  </si>
  <si>
    <t>Ties straight to Vendii's recovery base. Many old holdings are not yet in CSCS.</t>
  </si>
  <si>
    <t>T011</t>
  </si>
  <si>
    <t>Funding &amp; cash</t>
  </si>
  <si>
    <t>Phase 3 (Jul 2027)</t>
  </si>
  <si>
    <t>Dedicated virtual account number per user</t>
  </si>
  <si>
    <t>User funds by bank transfer to their own account number.</t>
  </si>
  <si>
    <t>L012</t>
  </si>
  <si>
    <t>Bamboo, Risevest, PiggyVest</t>
  </si>
  <si>
    <t>NIP transfer is how Nigerians move money. Cards fail more and cost more.</t>
  </si>
  <si>
    <t>Partial pledge</t>
  </si>
  <si>
    <t>User picks which stocks and how many units to pledge.</t>
  </si>
  <si>
    <t>Groww Credit (flexible pledge)</t>
  </si>
  <si>
    <t>People want to keep some holdings free to sell.</t>
  </si>
  <si>
    <t>T012</t>
  </si>
  <si>
    <t>L013</t>
  </si>
  <si>
    <t>Withdrawals only to BVN-matched bank account</t>
  </si>
  <si>
    <t>Cash can only leave to an account in the user's own name.</t>
  </si>
  <si>
    <t>One-tap pledge from Vendii brokerage holdings</t>
  </si>
  <si>
    <t>Robinhood (linked bank only)</t>
  </si>
  <si>
    <t>Pledge directly from the trading app portfolio.</t>
  </si>
  <si>
    <t>Groww</t>
  </si>
  <si>
    <t>Main fraud control. Changing the payout account needs 2FA and a cooling period.</t>
  </si>
  <si>
    <t>Links the two apps. Cheapest acquisition channel for loans.</t>
  </si>
  <si>
    <t>T013</t>
  </si>
  <si>
    <t>L014</t>
  </si>
  <si>
    <t>FGN Savings Bonds and money market fund units as collateral</t>
  </si>
  <si>
    <t>Settled vs unsettled cash display</t>
  </si>
  <si>
    <t>Pledge bonds and fund units, not only shares.</t>
  </si>
  <si>
    <t>Shows what can be withdrawn now and what is still settling after a sale.</t>
  </si>
  <si>
    <t>Groww, Volt (mutual funds)</t>
  </si>
  <si>
    <t>Schwab, Robinhood</t>
  </si>
  <si>
    <t>DMO states FGN Savings Bonds are acceptable as collateral for bank loans. Lower risk means higher advance rates.</t>
  </si>
  <si>
    <t>NGX sale proceeds settle after trade date (current cycle not verified; confirm with Trust Bank Securities).</t>
  </si>
  <si>
    <t>Phase 2 (May 2027)</t>
  </si>
  <si>
    <t>L015</t>
  </si>
  <si>
    <t>Collateral substitution</t>
  </si>
  <si>
    <t>Swap one pledged stock for another without closing the loan.</t>
  </si>
  <si>
    <t>Private bank Lombard loans</t>
  </si>
  <si>
    <t>Useful for active holders; operationally heavy.</t>
  </si>
  <si>
    <t>T014</t>
  </si>
  <si>
    <t>Idle cash sweep to a money market fund</t>
  </si>
  <si>
    <t>Uninvested cash earns money market yield automatically.</t>
  </si>
  <si>
    <t>Robinhood Gold interest, Wealthfront</t>
  </si>
  <si>
    <t>Naira cash sitting at zero in a high-inflation economy feels like a loss. Needs a fund manager partner.</t>
  </si>
  <si>
    <t>L016</t>
  </si>
  <si>
    <t>Product &amp; pricing</t>
  </si>
  <si>
    <t>Fixed-term loan with clear schedule</t>
  </si>
  <si>
    <t>Borrow a set amount for a set period.</t>
  </si>
  <si>
    <t>Jio Credit, Global IME Bank</t>
  </si>
  <si>
    <t>Simplest product for the manual launch.</t>
  </si>
  <si>
    <t>T015</t>
  </si>
  <si>
    <t>Fast withdrawal with a published SLA</t>
  </si>
  <si>
    <t>Same-day payout of settled cash, with the promised time shown.</t>
  </si>
  <si>
    <t>L017</t>
  </si>
  <si>
    <t>Robinhood Instant</t>
  </si>
  <si>
    <t>Nigerian users judge apps on how fast money comes back. Publish the SLA and hit it.</t>
  </si>
  <si>
    <t>Purpose declaration</t>
  </si>
  <si>
    <t>User states the loan is not for buying shares.</t>
  </si>
  <si>
    <t>Schwab PAL (non-purpose rule)</t>
  </si>
  <si>
    <t>Borrowing to buy shares is margin lending and must sit in a broker-dealer. Non-purpose loans can be booked by the bank.</t>
  </si>
  <si>
    <t>T016</t>
  </si>
  <si>
    <t>Recurring investments by direct debit</t>
  </si>
  <si>
    <t>L018</t>
  </si>
  <si>
    <t>Buys chosen stocks, ETFs or funds weekly or monthly.</t>
  </si>
  <si>
    <t>Robinhood recurring, Acorns, PiggyVest</t>
  </si>
  <si>
    <t>All-in price disclosure</t>
  </si>
  <si>
    <t>Use NIBSS direct debit mandates, which Vendii already runs for success fees.</t>
  </si>
  <si>
    <t>Rate, fees, APR and total repayable shown before signing.</t>
  </si>
  <si>
    <t>Schwab, Indian digital lenders</t>
  </si>
  <si>
    <t>Consumer protection expectations from CBN and FCCPC (specific disclosure rules not verified).</t>
  </si>
  <si>
    <t>T017</t>
  </si>
  <si>
    <t>L019</t>
  </si>
  <si>
    <t>Credit bureau check</t>
  </si>
  <si>
    <t>Card funding</t>
  </si>
  <si>
    <t>Pull from CRC, FirstCentral or CreditRegistry.</t>
  </si>
  <si>
    <t>Top up with a debit card.</t>
  </si>
  <si>
    <t>All regulated lenders</t>
  </si>
  <si>
    <t>Bamboo</t>
  </si>
  <si>
    <t>Trust Bank, as lender of record, will require it.</t>
  </si>
  <si>
    <t>Gateway fees eat small deposits. Keep as a backup channel only.</t>
  </si>
  <si>
    <t>L020</t>
  </si>
  <si>
    <t>E-sign agreement with a one-page key facts sheet</t>
  </si>
  <si>
    <t>Plain-language summary plus the full agreement, signed in-app.</t>
  </si>
  <si>
    <t>T018</t>
  </si>
  <si>
    <t>UK/EU key facts documents</t>
  </si>
  <si>
    <t>Open legal question on e-signature treatment also affects the POA; get one legal review covering both.</t>
  </si>
  <si>
    <t>Payday auto-invest trigger</t>
  </si>
  <si>
    <t>Invests a set amount when salary lands.</t>
  </si>
  <si>
    <t>PiggyVest (autosave)</t>
  </si>
  <si>
    <t>Needs account-aggregation or bank data access, which is still patchy in Nigeria.</t>
  </si>
  <si>
    <t>L021</t>
  </si>
  <si>
    <t>Revolving credit line</t>
  </si>
  <si>
    <t>Approved limit; draw what you need and pay interest only on what you use.</t>
  </si>
  <si>
    <t>Schwab Pledged Asset Line, Volt Money overdraft</t>
  </si>
  <si>
    <t>T019</t>
  </si>
  <si>
    <t>VBank x Anchoria runs an overdraft up to ₦60m for individuals with tenors up to six months. A line with renewals beats it.</t>
  </si>
  <si>
    <t>Spare-change round-ups</t>
  </si>
  <si>
    <t>Rounds up card purchases and invests the change.</t>
  </si>
  <si>
    <t>Acorns</t>
  </si>
  <si>
    <t>Vendii has no card programme to round up from.</t>
  </si>
  <si>
    <t>L022</t>
  </si>
  <si>
    <t>Collateral-first underwriting (no salary slip)</t>
  </si>
  <si>
    <t>Approval based on the shares, not income documents.</t>
  </si>
  <si>
    <t>Volt Money</t>
  </si>
  <si>
    <t>Many shareholders are self-employed or retired with no payslip. Bank will still want a bureau check.</t>
  </si>
  <si>
    <t>Skip</t>
  </si>
  <si>
    <t>T020</t>
  </si>
  <si>
    <t>Discovery &amp; research</t>
  </si>
  <si>
    <t>Search by company, ticker or sector</t>
  </si>
  <si>
    <t>Find any listed security fast, with typo tolerance.</t>
  </si>
  <si>
    <t>All major apps</t>
  </si>
  <si>
    <t>Users search 'Dangote' not 'DANGCEM'. Map common names to tickers.</t>
  </si>
  <si>
    <t>L023</t>
  </si>
  <si>
    <t>Decision in minutes</t>
  </si>
  <si>
    <t>Automatic approval within set limits.</t>
  </si>
  <si>
    <t>Volt Money (under five minutes)</t>
  </si>
  <si>
    <t>Matches the Jul 2027 automation milestone.</t>
  </si>
  <si>
    <t>L024</t>
  </si>
  <si>
    <t>Interest-only with bullet repayment</t>
  </si>
  <si>
    <t>Pay interest monthly, principal at the end.</t>
  </si>
  <si>
    <t>Volt Money (interest-only EMIs)</t>
  </si>
  <si>
    <t>Fits users expecting a dividend or a lump sum.</t>
  </si>
  <si>
    <t>T021</t>
  </si>
  <si>
    <t>Market overview screen</t>
  </si>
  <si>
    <t>L025</t>
  </si>
  <si>
    <t>NGX All-Share Index, sector indices, gainers, losers, market breadth.</t>
  </si>
  <si>
    <t>No prepayment penalty</t>
  </si>
  <si>
    <t>Robinhood, Meritrade</t>
  </si>
  <si>
    <t>Repay early at no cost.</t>
  </si>
  <si>
    <t>Volt Money, Schwab PAL</t>
  </si>
  <si>
    <t>Default home for the 'what is the market doing today' check.</t>
  </si>
  <si>
    <t>Short-term liquidity users repay early. Penalties kill repeat use.</t>
  </si>
  <si>
    <t>L026</t>
  </si>
  <si>
    <t>Relationship pricing</t>
  </si>
  <si>
    <t>T022</t>
  </si>
  <si>
    <t>Lower rate for larger portfolios or longer customers.</t>
  </si>
  <si>
    <t>Schwab PAL spread tiers</t>
  </si>
  <si>
    <t>Wait until there's a book to price against.</t>
  </si>
  <si>
    <t>Security detail page</t>
  </si>
  <si>
    <t>Price, chart, P/E, dividend yield, market cap, 52-week range, about, dividend history.</t>
  </si>
  <si>
    <t>Robinhood, Bamboo</t>
  </si>
  <si>
    <t>Add last dividend, qualification date and payment date on the page, since dividends drive Nigerian equity returns.</t>
  </si>
  <si>
    <t>L027</t>
  </si>
  <si>
    <t>Disbursement</t>
  </si>
  <si>
    <t>Instant disbursement to BVN-matched account</t>
  </si>
  <si>
    <t>Funds land in the user's own bank account right after lien confirmation.</t>
  </si>
  <si>
    <t>Volt Money, Groww</t>
  </si>
  <si>
    <t>Pay only to an account matching BVN and CSCS name.</t>
  </si>
  <si>
    <t>T023</t>
  </si>
  <si>
    <t>Liquidity indicator and thin-stock warning</t>
  </si>
  <si>
    <t>Shows average daily traded value, number of deals and spread; warns before buying a stock that rarely trades.</t>
  </si>
  <si>
    <t>Uncommon globally because US stocks are liquid</t>
  </si>
  <si>
    <t>Your decisions so far</t>
  </si>
  <si>
    <t>L028</t>
  </si>
  <si>
    <t>Many NGX names trade a few deals a day. Users buy and then can't sell. This warning prevents real losses and complaints.</t>
  </si>
  <si>
    <t>Monitoring &amp; margin calls</t>
  </si>
  <si>
    <t>Live loan health meter</t>
  </si>
  <si>
    <t>Green, amber, red bar showing loan-to-value against the call level.</t>
  </si>
  <si>
    <t>IBKR, Indian LAS apps</t>
  </si>
  <si>
    <t>The single screen that prevents panic and surprise liquidations.</t>
  </si>
  <si>
    <t>T024</t>
  </si>
  <si>
    <t>L029</t>
  </si>
  <si>
    <t>'Why did it move' AI digest</t>
  </si>
  <si>
    <t>Daily collateral revaluation</t>
  </si>
  <si>
    <t>Short explanation of a stock's move today, built from filings and news.</t>
  </si>
  <si>
    <t>Collateral repriced every trading day from the market feed.</t>
  </si>
  <si>
    <t>All securities lenders</t>
  </si>
  <si>
    <t>Robinhood Cortex Stock Digests</t>
  </si>
  <si>
    <t>Uses the same NGX feed as the trading app.</t>
  </si>
  <si>
    <t>Fills the coverage gap on NGX small caps. Label as information, not advice.</t>
  </si>
  <si>
    <t>L030</t>
  </si>
  <si>
    <t>Tiered alerts before any call</t>
  </si>
  <si>
    <t>T025</t>
  </si>
  <si>
    <t>Warning, margin call and liquidation alerts on push, SMS, WhatsApp and email.</t>
  </si>
  <si>
    <t>VBank x Anchoria (140% trigger), IBKR</t>
  </si>
  <si>
    <t>Nigerian rules set a 120% maintenance margin for margin trading in 2010; your own triggers should sit above that.</t>
  </si>
  <si>
    <t>Watchlists</t>
  </si>
  <si>
    <t>Save securities to follow.</t>
  </si>
  <si>
    <t>Standard. Seed a default list (NGX 30) so the first screen isn't empty.</t>
  </si>
  <si>
    <t>L031</t>
  </si>
  <si>
    <t>Cure options on one screen</t>
  </si>
  <si>
    <t>Add cash, pledge more shares or part-repay, from the alert itself.</t>
  </si>
  <si>
    <t>Schwab PAL, IBKR</t>
  </si>
  <si>
    <t>Every extra step during a call raises the chance of a forced sale.</t>
  </si>
  <si>
    <t>T026</t>
  </si>
  <si>
    <t>Curated collections</t>
  </si>
  <si>
    <t>Lists like 'Dividend payers', 'Banks', 'NGX 30', 'Under ₦10'.</t>
  </si>
  <si>
    <t>L032</t>
  </si>
  <si>
    <t>Robinhood lists, Bamboo</t>
  </si>
  <si>
    <t>Cure deadline countdown</t>
  </si>
  <si>
    <t>Helps first-time investors who don't know tickers. Must not read as a recommendation.</t>
  </si>
  <si>
    <t>Shows exactly how long the user has before shares are sold.</t>
  </si>
  <si>
    <t>Opposite of Schwab, which may sell without notice</t>
  </si>
  <si>
    <t>Removes the 'they sold my shares without telling me' complaint.</t>
  </si>
  <si>
    <t>T027</t>
  </si>
  <si>
    <t>L033</t>
  </si>
  <si>
    <t>Corporate disclosures feed</t>
  </si>
  <si>
    <t>Results, board meetings, dividends and notices from NGX filings, in plain language.</t>
  </si>
  <si>
    <t>Transparent liquidation record</t>
  </si>
  <si>
    <t>What was sold, at what price, fees, and leftover returned.</t>
  </si>
  <si>
    <t>Robinhood news, Schwab</t>
  </si>
  <si>
    <t>IBKR activity statements</t>
  </si>
  <si>
    <t>Required for disputes and for trust.</t>
  </si>
  <si>
    <t>Pull from NGX issuer filings. Small caps get almost no press, so filings are the only news.</t>
  </si>
  <si>
    <t>L034</t>
  </si>
  <si>
    <t>Stress-test simulator</t>
  </si>
  <si>
    <t>T028</t>
  </si>
  <si>
    <t>Reject</t>
  </si>
  <si>
    <t>Applies to</t>
  </si>
  <si>
    <t>Broker research reports</t>
  </si>
  <si>
    <t>Research notes from the sponsoring broker or partners.</t>
  </si>
  <si>
    <t>'What if my shares fall 20%?' shows the effect on the loan.</t>
  </si>
  <si>
    <t>Principle</t>
  </si>
  <si>
    <t>Schwab, Fidelity</t>
  </si>
  <si>
    <t>Rare in retail apps</t>
  </si>
  <si>
    <t>Teaches the risk before it happens, which cuts defaults.</t>
  </si>
  <si>
    <t>What it means</t>
  </si>
  <si>
    <t>Trust Bank Securities or other houses publish notes. Low cost to surface.</t>
  </si>
  <si>
    <t>Example in Vendii</t>
  </si>
  <si>
    <t>L035</t>
  </si>
  <si>
    <t>Both</t>
  </si>
  <si>
    <t>T029</t>
  </si>
  <si>
    <t>Choose which shares sell first</t>
  </si>
  <si>
    <t>User ranks pledged stocks in liquidation order.</t>
  </si>
  <si>
    <t>Not found in retail products</t>
  </si>
  <si>
    <t>Results in plain language</t>
  </si>
  <si>
    <t>Users care which holdings they keep. Strong reason to choose Vendii.</t>
  </si>
  <si>
    <t>Show the money before the button</t>
  </si>
  <si>
    <t>Summary of revenue, profit and dividend vs last year when a company reports.</t>
  </si>
  <si>
    <t>Robinhood, Public</t>
  </si>
  <si>
    <t>Every confirm screen shows what the user pays, every fee, and what they end up with.</t>
  </si>
  <si>
    <t>Most retail holders never read a Nigerian annual report. A three-line summary changes that.</t>
  </si>
  <si>
    <t>Order ticket shows ₦100,000 = 1,234 units + ₦1,850 in charges + ₦150 change. Loan offer shows total repayable in naira.</t>
  </si>
  <si>
    <t>L036</t>
  </si>
  <si>
    <t>Status over silence</t>
  </si>
  <si>
    <t>Market stress controls</t>
  </si>
  <si>
    <t>Pause new loans or raise haircuts automatically in a sharp sell-off.</t>
  </si>
  <si>
    <t>Every order, claim and loan shows where it is and what happens next.</t>
  </si>
  <si>
    <t>Prime brokers, IBKR house margins</t>
  </si>
  <si>
    <t>T030</t>
  </si>
  <si>
    <t>'Sent to broker 10:42. Exchange opens 10:00 tomorrow.'</t>
  </si>
  <si>
    <t>Internal protection for Trust Bank's book.</t>
  </si>
  <si>
    <t>Screener</t>
  </si>
  <si>
    <t>Filter by dividend yield, P/E, sector, liquidity, price.</t>
  </si>
  <si>
    <t>Plain words, tap to explain</t>
  </si>
  <si>
    <t>IBKR, Robinhood, Schwab</t>
  </si>
  <si>
    <t>Use everyday language and let users tap any term for a two-line definition.</t>
  </si>
  <si>
    <t>Include liquidity as a filter by default.</t>
  </si>
  <si>
    <t>L037</t>
  </si>
  <si>
    <t>Dividends &amp; corporate actions</t>
  </si>
  <si>
    <t>'Qualification date' links to: own the shares before this date to get the dividend.</t>
  </si>
  <si>
    <t>Dividends keep flowing to the borrower</t>
  </si>
  <si>
    <t>Clear statement that pledged shares still earn dividends.</t>
  </si>
  <si>
    <t>The main reason to borrow instead of selling. Say it on the offer screen.</t>
  </si>
  <si>
    <t>Android-first, low data, low-end phones</t>
  </si>
  <si>
    <t>Design and test on a mid-range Android on 3G before anything else.</t>
  </si>
  <si>
    <t>T031</t>
  </si>
  <si>
    <t>Cache prices, compress images, keep the app small.</t>
  </si>
  <si>
    <t>Economic calendar</t>
  </si>
  <si>
    <t>L038</t>
  </si>
  <si>
    <t>Friction only where it protects</t>
  </si>
  <si>
    <t>MPC meetings, inflation releases, DMO auction dates, dividend closures.</t>
  </si>
  <si>
    <t>Add steps for withdrawals, payout changes, loan signing. Remove them everywhere else.</t>
  </si>
  <si>
    <t>Auto-apply dividends to the loan</t>
  </si>
  <si>
    <t>Schwab, IBKR</t>
  </si>
  <si>
    <t>Optional setting to use incoming dividends to pay down the loan.</t>
  </si>
  <si>
    <t>MPC rate decisions move Nigerian banks and bonds sharply.</t>
  </si>
  <si>
    <t>No PIN to view portfolio; PIN plus 2FA to change bank account.</t>
  </si>
  <si>
    <t>Natural fit for Vendii, which already tracks dividends across registrars.</t>
  </si>
  <si>
    <t>One main action per screen</t>
  </si>
  <si>
    <t>Each screen has one obvious next step.</t>
  </si>
  <si>
    <t>Stock page: Buy is primary, Sell secondary, everything else below the fold.</t>
  </si>
  <si>
    <t>T032</t>
  </si>
  <si>
    <t>L039</t>
  </si>
  <si>
    <t>Proof of custody, always visible</t>
  </si>
  <si>
    <t>Advanced charting with indicators</t>
  </si>
  <si>
    <t>Bonus and rights on pledged shares</t>
  </si>
  <si>
    <t>Show that shares sit in the user's name at CSCS and who the licensed partners are.</t>
  </si>
  <si>
    <t>Bonus units join the collateral; rights can still be taken up.</t>
  </si>
  <si>
    <t>Technical indicators, drawing tools, multiple timeframes.</t>
  </si>
  <si>
    <t>Settings &gt; 'Where my shares are held' with CHN and sponsoring broker.</t>
  </si>
  <si>
    <t>Custody banks</t>
  </si>
  <si>
    <t>TradingView, Robinhood Legend</t>
  </si>
  <si>
    <t>Common on NGX; must not break the lien.</t>
  </si>
  <si>
    <t>Small audience of active NGX traders. Embed a charting library later if demand shows.</t>
  </si>
  <si>
    <t>Human escape hatch everywhere</t>
  </si>
  <si>
    <t>Every screen has a route to a person.</t>
  </si>
  <si>
    <t>L040</t>
  </si>
  <si>
    <t>'Talk to us' in the header of order, claim and loan screens.</t>
  </si>
  <si>
    <t>Repayment &amp; closure</t>
  </si>
  <si>
    <t>Repay any time in-app</t>
  </si>
  <si>
    <t>Full or partial repayment by transfer.</t>
  </si>
  <si>
    <t>T033</t>
  </si>
  <si>
    <t>Discuss</t>
  </si>
  <si>
    <t>All digital lenders</t>
  </si>
  <si>
    <t>Alerts say what to do, not just what happened</t>
  </si>
  <si>
    <t>Show the payoff amount to the kobo for today.</t>
  </si>
  <si>
    <t>Social feed and community</t>
  </si>
  <si>
    <t>Every notification carries the next action.</t>
  </si>
  <si>
    <t>Posts, verified trades, following other investors.</t>
  </si>
  <si>
    <t>'Your loan health is amber. Add ₦45,000 or pledge more shares by Friday 2pm.'</t>
  </si>
  <si>
    <t>Robinhood Social, Trove Social</t>
  </si>
  <si>
    <t>Moderation cost and pump-and-dump risk on thin NGX names.</t>
  </si>
  <si>
    <t>L041</t>
  </si>
  <si>
    <t>Interrupted sessions are normal</t>
  </si>
  <si>
    <t>Direct debit for scheduled repayments</t>
  </si>
  <si>
    <t>Save progress on every step and resume on any device.</t>
  </si>
  <si>
    <t>NIBSS mandate pulls repayments automatically.</t>
  </si>
  <si>
    <t>Half-finished signup or loan application reopens where the user stopped.</t>
  </si>
  <si>
    <t>Nigerian digital lenders</t>
  </si>
  <si>
    <t>Vendii already runs NIBSS direct debit.</t>
  </si>
  <si>
    <t>Naira formatting done right</t>
  </si>
  <si>
    <t>₦ sign, thousands separators, kobo only where it matters, consistent everywhere.</t>
  </si>
  <si>
    <t>₦1,250,000 not 1250000 NGN.</t>
  </si>
  <si>
    <t>L042</t>
  </si>
  <si>
    <t>Automatic lien release on full repayment</t>
  </si>
  <si>
    <t>Shares freed as soon as the loan is cleared.</t>
  </si>
  <si>
    <t>Desktop gets its own layout</t>
  </si>
  <si>
    <t>Desktop is a separate design, not a stretched phone flow.</t>
  </si>
  <si>
    <t>Slow lien release is a top complaint in secured lending.</t>
  </si>
  <si>
    <t>Split view: portfolio left, order ticket right.</t>
  </si>
  <si>
    <t>T034</t>
  </si>
  <si>
    <t>Trading</t>
  </si>
  <si>
    <t>Protect users from illiquid stocks</t>
  </si>
  <si>
    <t>Copy trading</t>
  </si>
  <si>
    <t>Default to limit orders and warn before buying names that rarely trade.</t>
  </si>
  <si>
    <t>L043</t>
  </si>
  <si>
    <t>Automatically mirror another investor's trades.</t>
  </si>
  <si>
    <t>'This stock traded on 3 of the last 20 days. Selling may take time.'</t>
  </si>
  <si>
    <t>eToro</t>
  </si>
  <si>
    <t>Loan statement and schedule</t>
  </si>
  <si>
    <t>Advisory and regulatory exposure for a sub-broker. Thin stocks make it dangerous.</t>
  </si>
  <si>
    <t>Download balance, payments and schedule anytime.</t>
  </si>
  <si>
    <t>Calm, not casino</t>
  </si>
  <si>
    <t>All lenders</t>
  </si>
  <si>
    <t>No confetti, streaks or push nudges to trade more.</t>
  </si>
  <si>
    <t>Needed for disputes and audits.</t>
  </si>
  <si>
    <t>Celebrate the first investment once, quietly.</t>
  </si>
  <si>
    <t>Lending</t>
  </si>
  <si>
    <t>Risk visible early and visually</t>
  </si>
  <si>
    <t>Loan health is the first thing on the loan screen.</t>
  </si>
  <si>
    <t>T035</t>
  </si>
  <si>
    <t>L044</t>
  </si>
  <si>
    <t>Colour bar with today's LTV and the call line marked.</t>
  </si>
  <si>
    <t>Partial lien release</t>
  </si>
  <si>
    <t>Free some shares once the loan is small enough.</t>
  </si>
  <si>
    <t>Desktop pro trading terminal</t>
  </si>
  <si>
    <t>No surprise sales</t>
  </si>
  <si>
    <t>Groww, Schwab</t>
  </si>
  <si>
    <t>Multi-panel trading workstation.</t>
  </si>
  <si>
    <t>Every forced sale is preceded by warnings and a visible countdown.</t>
  </si>
  <si>
    <t>Lets users sell freed shares without clearing the whole loan.</t>
  </si>
  <si>
    <t>Robinhood Legend</t>
  </si>
  <si>
    <t>Three alerts across channels, then a countdown on the home screen.</t>
  </si>
  <si>
    <t>Not yet decided</t>
  </si>
  <si>
    <t>NGX retail volumes don't justify it.</t>
  </si>
  <si>
    <t>L045</t>
  </si>
  <si>
    <t>Top-up when collateral value rises</t>
  </si>
  <si>
    <t>Offer more credit when the portfolio grows.</t>
  </si>
  <si>
    <t>T036</t>
  </si>
  <si>
    <t>Schwab PAL</t>
  </si>
  <si>
    <t>Easy repeat revenue.</t>
  </si>
  <si>
    <t>See other users' portfolios</t>
  </si>
  <si>
    <t>Browse what others hold and their returns.</t>
  </si>
  <si>
    <t>Trove</t>
  </si>
  <si>
    <t>Looks interesting, changes little.</t>
  </si>
  <si>
    <t>L046</t>
  </si>
  <si>
    <t>Early repayment calculator</t>
  </si>
  <si>
    <t>Shows interest saved by paying early.</t>
  </si>
  <si>
    <t>Various</t>
  </si>
  <si>
    <t>Small touch.</t>
  </si>
  <si>
    <t>T037</t>
  </si>
  <si>
    <t>Trading &amp; orders</t>
  </si>
  <si>
    <t>L047</t>
  </si>
  <si>
    <t>Buy by naira amount or by units</t>
  </si>
  <si>
    <t>Lender &amp; partner side</t>
  </si>
  <si>
    <t>Lender console</t>
  </si>
  <si>
    <t>User types ₦50,000 or 1,000 units; app converts and shows leftover.</t>
  </si>
  <si>
    <t>Book overview, exposures, LTV distribution and margin call queue.</t>
  </si>
  <si>
    <t>Robinhood dollar-based orders</t>
  </si>
  <si>
    <t>Indian LAS platforms for NBFC partners</t>
  </si>
  <si>
    <t>Trust Bank's credit team works from this.</t>
  </si>
  <si>
    <t>NGX shares trade in whole units. Convert the amount to whole units and keep the change as cash.</t>
  </si>
  <si>
    <t>T038</t>
  </si>
  <si>
    <t>Market and limit orders</t>
  </si>
  <si>
    <t>Buy or sell at best available price or at a set price.</t>
  </si>
  <si>
    <t>All brokers</t>
  </si>
  <si>
    <t>L048</t>
  </si>
  <si>
    <t>Exposure caps by lender and stock</t>
  </si>
  <si>
    <t>Default to limit orders on illiquid names to protect users from bad fills.</t>
  </si>
  <si>
    <t>Hard limits on total and per-stock exposure.</t>
  </si>
  <si>
    <t>Prime brokers</t>
  </si>
  <si>
    <t>2010 rules capped bank margin lending at 10% of total loans (SEC/CBN revisions under discussion; current status not verified).</t>
  </si>
  <si>
    <t>T039</t>
  </si>
  <si>
    <t>L049</t>
  </si>
  <si>
    <t>Pre-trade cost breakdown</t>
  </si>
  <si>
    <t>Multi-lender marketplace</t>
  </si>
  <si>
    <t>Several banks bid to fund each loan.</t>
  </si>
  <si>
    <t>Shows commission, SEC fee, NGX fee, CSCS fee, stamp duty and VAT before the user confirms.</t>
  </si>
  <si>
    <t>Volt Money (multiple lending partners)</t>
  </si>
  <si>
    <t>Robinhood est. cost, Indian brokers (mandated)</t>
  </si>
  <si>
    <t>Lower rates and less dependence on one bank. Needs more than one lender signed.</t>
  </si>
  <si>
    <t>Approved features by suggested release</t>
  </si>
  <si>
    <t>Nigerian contract notes stack several charges. Showing the all-in cost upfront is the trust play.</t>
  </si>
  <si>
    <t>Release</t>
  </si>
  <si>
    <t>L050</t>
  </si>
  <si>
    <t>T040</t>
  </si>
  <si>
    <t>Embeddable lending API for other brokers</t>
  </si>
  <si>
    <t>Other brokers and apps offer Vendii loans inside their products.</t>
  </si>
  <si>
    <t>Cancel, amend and partial-fill handling</t>
  </si>
  <si>
    <t>Volt Money web and app SDKs</t>
  </si>
  <si>
    <t>Change or cancel open orders; show filled vs unfilled units.</t>
  </si>
  <si>
    <t>The route to lending against shares held at any broker, at scale.</t>
  </si>
  <si>
    <t>Partial fills are common on thin NGX stocks.</t>
  </si>
  <si>
    <t>L051</t>
  </si>
  <si>
    <t>Collections and restructuring workflow</t>
  </si>
  <si>
    <t>Handle overdue loans before liquidation.</t>
  </si>
  <si>
    <t>Some users will be illiquid, not unwilling.</t>
  </si>
  <si>
    <t>T041</t>
  </si>
  <si>
    <t>Trade confirmation and contract note</t>
  </si>
  <si>
    <t>L052</t>
  </si>
  <si>
    <t>Instant confirmation plus the formal contract note for each executed trade.</t>
  </si>
  <si>
    <t>Credit bureau reporting</t>
  </si>
  <si>
    <t>All regulated brokers</t>
  </si>
  <si>
    <t>Report performing and defaulted loans.</t>
  </si>
  <si>
    <t>Contract notes are expected by SEC and users. Generate from the broker's data, stored in-app.</t>
  </si>
  <si>
    <t>Done by the lender of record; Vendii supplies the data.</t>
  </si>
  <si>
    <t>L053</t>
  </si>
  <si>
    <t>Compliance &amp; safety</t>
  </si>
  <si>
    <t>Name match across BVN, CSCS and bank</t>
  </si>
  <si>
    <t>T042</t>
  </si>
  <si>
    <t>All three records must match before lending.</t>
  </si>
  <si>
    <t>Standard KYC</t>
  </si>
  <si>
    <t>Old shareholder records often have spelling variants; have a review path.</t>
  </si>
  <si>
    <t>Order status tracker</t>
  </si>
  <si>
    <t>Submitted, sent to broker, on exchange, partly filled, filled, settled.</t>
  </si>
  <si>
    <t>Robinhood, Schwab</t>
  </si>
  <si>
    <t>Orders route through Trust Bank Securities, manually at first. Users of other apps complain they can't see what happened to their order.</t>
  </si>
  <si>
    <t>L054</t>
  </si>
  <si>
    <t>AML screening on loans</t>
  </si>
  <si>
    <t>Screen borrowers and flag unusual borrowing patterns.</t>
  </si>
  <si>
    <t>Shared with the trading app's AML stack.</t>
  </si>
  <si>
    <t>T043</t>
  </si>
  <si>
    <t>Market hours handling</t>
  </si>
  <si>
    <t>Queues orders placed after hours for the next open and shows a countdown.</t>
  </si>
  <si>
    <t>NGX trades weekdays during set hours (confirm current schedule). Most retail orders come in evenings.</t>
  </si>
  <si>
    <t>L055</t>
  </si>
  <si>
    <t>Risk disclosure with a worked margin call example</t>
  </si>
  <si>
    <t>Plain-language example of a price fall and forced sale, shown before signing.</t>
  </si>
  <si>
    <t>SEC Nigeria margin loan guidance, Schwab PAL risk notice</t>
  </si>
  <si>
    <t>Users must see a naira example, not a legal paragraph.</t>
  </si>
  <si>
    <t>T044</t>
  </si>
  <si>
    <t>Price band warning</t>
  </si>
  <si>
    <t>Warns when a limit price sits outside the day's allowed movement.</t>
  </si>
  <si>
    <t>Exchange-specific</t>
  </si>
  <si>
    <t>NGX applies daily price movement limits (current band not verified).</t>
  </si>
  <si>
    <t>L056</t>
  </si>
  <si>
    <t>Audit trail of every alert and action</t>
  </si>
  <si>
    <t>Logs each message sent and each lien and sale action.</t>
  </si>
  <si>
    <t>T045</t>
  </si>
  <si>
    <t>Your defence in any dispute over a forced sale.</t>
  </si>
  <si>
    <t>Day and good-till-cancelled orders</t>
  </si>
  <si>
    <t>Order stays open for the day or until filled or cancelled.</t>
  </si>
  <si>
    <t>Useful for thin stocks where a fill can take days.</t>
  </si>
  <si>
    <t>L057</t>
  </si>
  <si>
    <t>Cooling-off cancellation window</t>
  </si>
  <si>
    <t>T046</t>
  </si>
  <si>
    <t>Cancel within a short period after signing.</t>
  </si>
  <si>
    <t>UK/EU consumer credit rules</t>
  </si>
  <si>
    <t>Requirement in Nigeria not verified. Good faith signal either way.</t>
  </si>
  <si>
    <t>Stop-loss and take-profit orders</t>
  </si>
  <si>
    <t>Auto-sell at a trigger price.</t>
  </si>
  <si>
    <t>Depends on sponsoring broker support. Without it, run as a price alert plus one-tap sell.</t>
  </si>
  <si>
    <t>L058</t>
  </si>
  <si>
    <t>Scope extensions</t>
  </si>
  <si>
    <t>Loan education hub</t>
  </si>
  <si>
    <t>T047</t>
  </si>
  <si>
    <t>How share-backed loans, LTV and margin calls work.</t>
  </si>
  <si>
    <t>SEC Nigeria investor education pages</t>
  </si>
  <si>
    <t>Trading ladder and order book depth</t>
  </si>
  <si>
    <t>Most Nigerians have never seen this product; education is acquisition.</t>
  </si>
  <si>
    <t>Live bids and offers at each price level.</t>
  </si>
  <si>
    <t>Depth data costs more and few retail users read it.</t>
  </si>
  <si>
    <t>L059</t>
  </si>
  <si>
    <t>Estate handling for pledged collateral</t>
  </si>
  <si>
    <t>Clear process if a borrower dies with a loan open.</t>
  </si>
  <si>
    <t>Private banks</t>
  </si>
  <si>
    <t>T048</t>
  </si>
  <si>
    <t>Reuses Vendii's estate workflow.</t>
  </si>
  <si>
    <t>Options, futures and short selling</t>
  </si>
  <si>
    <t>Derivatives and betting against stocks.</t>
  </si>
  <si>
    <t>Robinhood</t>
  </si>
  <si>
    <t>Not practically available to Nigerian retail on NGX.</t>
  </si>
  <si>
    <t>L060</t>
  </si>
  <si>
    <t>Corporate and SME borrowers</t>
  </si>
  <si>
    <t>Companies borrow against shares they hold.</t>
  </si>
  <si>
    <t>T049</t>
  </si>
  <si>
    <t>VBank x Anchoria (up to ₦300m for corporates)</t>
  </si>
  <si>
    <t>Bigger tickets, more paperwork. After retail works.</t>
  </si>
  <si>
    <t>Crypto trading</t>
  </si>
  <si>
    <t>Buy and sell digital assets.</t>
  </si>
  <si>
    <t>Robinhood, Bamboo (earlier)</t>
  </si>
  <si>
    <t>Separate SEC digital asset regime with its own capital rules and proposed retail caps. Different business.</t>
  </si>
  <si>
    <t>L061</t>
  </si>
  <si>
    <t>Diaspora borrowers</t>
  </si>
  <si>
    <t>T050</t>
  </si>
  <si>
    <t>Nigerians abroad borrow against NGX holdings.</t>
  </si>
  <si>
    <t>Confetti and celebration animations</t>
  </si>
  <si>
    <t>Disbursement to Nigerian accounts only at first.</t>
  </si>
  <si>
    <t>Visual rewards after trades.</t>
  </si>
  <si>
    <t>Robinhood (dropped after regulator criticism)</t>
  </si>
  <si>
    <t>Gamifying trades invites regulator attention and adds nothing.</t>
  </si>
  <si>
    <t>L062</t>
  </si>
  <si>
    <t>T051</t>
  </si>
  <si>
    <t>Margin trading (borrow to buy shares)</t>
  </si>
  <si>
    <t>Fixed income</t>
  </si>
  <si>
    <t>Credit used to buy more shares.</t>
  </si>
  <si>
    <t>FGN Savings Bond monthly subscription</t>
  </si>
  <si>
    <t>Robinhood margin, IBKR</t>
  </si>
  <si>
    <t>Subscribe during the monthly window from ₦5,000; quarterly coupons; 2 and 3 year tenors.</t>
  </si>
  <si>
    <t>Must sit in a broker-dealer (₦2bn minimum capital since Jan 2026). Later, through Trust Bank Securities.</t>
  </si>
  <si>
    <t>DMO distribution stockbrokers</t>
  </si>
  <si>
    <t>Window runs about five days each month. Show the countdown, rates and maturity; collect early interest via pre-orders.</t>
  </si>
  <si>
    <t>T052</t>
  </si>
  <si>
    <t>L063</t>
  </si>
  <si>
    <t>Coupon calendar and income projection</t>
  </si>
  <si>
    <t>Card backed by shares</t>
  </si>
  <si>
    <t>Shows when each coupon lands and how much.</t>
  </si>
  <si>
    <t>Spend directly against the portfolio.</t>
  </si>
  <si>
    <t>Schwab bond tools</t>
  </si>
  <si>
    <t>Some US fintechs</t>
  </si>
  <si>
    <t>Retail bond buyers think in income. Show the next payment on the home screen.</t>
  </si>
  <si>
    <t>Card issuing adds licences and fraud cost for little gain.</t>
  </si>
  <si>
    <t>L064</t>
  </si>
  <si>
    <t>T053</t>
  </si>
  <si>
    <t>Crypto as collateral</t>
  </si>
  <si>
    <t>Borrow against digital assets.</t>
  </si>
  <si>
    <t>Secondary market for listed FGN bonds</t>
  </si>
  <si>
    <t>Crypto lenders</t>
  </si>
  <si>
    <t>Buy and sell bonds already issued, before maturity.</t>
  </si>
  <si>
    <t>Different regulator, different risk. Out of scope.</t>
  </si>
  <si>
    <t>Savings bonds are listed on NGX, but liquidity is thin. Show expected exit time honestly.</t>
  </si>
  <si>
    <t>L065</t>
  </si>
  <si>
    <t>Gamified credit score</t>
  </si>
  <si>
    <t>Points and badges for repayment behaviour.</t>
  </si>
  <si>
    <t>Various credit apps</t>
  </si>
  <si>
    <t>T054</t>
  </si>
  <si>
    <t>Adds nothing for a secured loan.</t>
  </si>
  <si>
    <t>Treasury bills access</t>
  </si>
  <si>
    <t>Exposure to T-bill yields for small tickets.</t>
  </si>
  <si>
    <t>Cowrywise, Risevest (fixed income notes)</t>
  </si>
  <si>
    <t>Primary T-bill and FGN bond auctions need over ₦50m per bid, so retail access runs through a pooled fund or partner dealer.</t>
  </si>
  <si>
    <t>L066</t>
  </si>
  <si>
    <t>Spending categories and budgeting</t>
  </si>
  <si>
    <t>Tag what the loan was used for and track spending.</t>
  </si>
  <si>
    <t>Neobanks</t>
  </si>
  <si>
    <t>Not why anyone takes a share-backed loan.</t>
  </si>
  <si>
    <t>T055</t>
  </si>
  <si>
    <t>Bond yield calculator</t>
  </si>
  <si>
    <t>Yield to maturity, accrued interest, clean vs dirty price.</t>
  </si>
  <si>
    <t>Schwab, Bloomberg-style tools</t>
  </si>
  <si>
    <t>Makes secondary bond prices understandable.</t>
  </si>
  <si>
    <t>T056</t>
  </si>
  <si>
    <t>Corporate bonds and commercial paper</t>
  </si>
  <si>
    <t>Access to corporate debt quoted on FMDQ.</t>
  </si>
  <si>
    <t>Trove, Meristem</t>
  </si>
  <si>
    <t>Needs an FMDQ-registered partner. Higher yields, real credit risk; label it.</t>
  </si>
  <si>
    <t>T057</t>
  </si>
  <si>
    <t>Sukuk and green bonds</t>
  </si>
  <si>
    <t>Islamic and green sovereign bonds.</t>
  </si>
  <si>
    <t>Local brokers</t>
  </si>
  <si>
    <t>Sukuk serves non-interest investors, a real segment in the north.</t>
  </si>
  <si>
    <t>T058</t>
  </si>
  <si>
    <t>Bond ladder builder</t>
  </si>
  <si>
    <t>Plans a set of bonds maturing in sequence.</t>
  </si>
  <si>
    <t>Schwab Bond Ladder tool</t>
  </si>
  <si>
    <t>Too few retail-sized bond options today to build a real ladder.</t>
  </si>
  <si>
    <t>T059</t>
  </si>
  <si>
    <t>Eurobonds (USD)</t>
  </si>
  <si>
    <t>Nigerian sovereign and corporate dollar bonds.</t>
  </si>
  <si>
    <t>Local wealth managers</t>
  </si>
  <si>
    <t>High minimums and FX constraints. Revisit later.</t>
  </si>
  <si>
    <t>T060</t>
  </si>
  <si>
    <t>ETFs &amp; funds</t>
  </si>
  <si>
    <t>NGX-listed ETFs</t>
  </si>
  <si>
    <t>Buy and sell ETFs on the same rails as stocks.</t>
  </si>
  <si>
    <t>Meritrade, Bamboo</t>
  </si>
  <si>
    <t>Same order flow as equities, so little extra build.</t>
  </si>
  <si>
    <t>T061</t>
  </si>
  <si>
    <t>ETF fact sheet with NAV vs price gap</t>
  </si>
  <si>
    <t>Underlying index, holdings, NAV, premium or discount, liquidity.</t>
  </si>
  <si>
    <t>Schwab, Vanguard</t>
  </si>
  <si>
    <t>NGX ETFs often trade well away from NAV. Users should see that before buying.</t>
  </si>
  <si>
    <t>T062</t>
  </si>
  <si>
    <t>Ref</t>
  </si>
  <si>
    <t>Mutual funds (money market, equity, fixed income)</t>
  </si>
  <si>
    <t>Subscribe to and redeem funds from licensed managers.</t>
  </si>
  <si>
    <t>Cowrywise, Stanbic, Meristem</t>
  </si>
  <si>
    <t>Source</t>
  </si>
  <si>
    <t>Money market funds are the default Nigerian savings product. Partner with two or three managers.</t>
  </si>
  <si>
    <t>Link</t>
  </si>
  <si>
    <t>S1</t>
  </si>
  <si>
    <t>T063</t>
  </si>
  <si>
    <t>Nairametrics, Top 10 investment apps in Nigeria as of May 2026 (Jun 2026)</t>
  </si>
  <si>
    <t>Model portfolios and robo-advice</t>
  </si>
  <si>
    <t>Managed portfolios matched to goals and risk.</t>
  </si>
  <si>
    <t>https://nairametrics.com/2026/06/02/top-10-investment-apps-in-in-nigeria-as-of-may-2026/</t>
  </si>
  <si>
    <t>Robinhood Strategies (0.25% fee, capped)</t>
  </si>
  <si>
    <t>Needs SEC robo-adviser registration under the 2021 robo-advisory rules.</t>
  </si>
  <si>
    <t>T064</t>
  </si>
  <si>
    <t>OTC (NASD)</t>
  </si>
  <si>
    <t>OTC risk labels</t>
  </si>
  <si>
    <t>Clear labels on lower disclosure and liquidity for OTC names.</t>
  </si>
  <si>
    <t>US OTC tiering (OTC Markets)</t>
  </si>
  <si>
    <t>Required the day OTC goes live.</t>
  </si>
  <si>
    <t>T065</t>
  </si>
  <si>
    <t>NASD OTC securities</t>
  </si>
  <si>
    <t>Trade unlisted public companies on the NASD OTC market.</t>
  </si>
  <si>
    <t>Meritrade (Meristem)</t>
  </si>
  <si>
    <t>Popular names trade there. Needs NASD participation via the sponsoring broker.</t>
  </si>
  <si>
    <t>T066</t>
  </si>
  <si>
    <t>Primary market &amp; corporate actions</t>
  </si>
  <si>
    <t>Bonus shares and splits handling</t>
  </si>
  <si>
    <t>Adjusts holdings and cost basis after bonus issues and splits.</t>
  </si>
  <si>
    <t>Wrong unit counts after a bonus issue destroy trust fast.</t>
  </si>
  <si>
    <t>T067</t>
  </si>
  <si>
    <t>Dividend tracker</t>
  </si>
  <si>
    <t>Declared dividend, qualification date, closure date, payment date and amount after withholding tax.</t>
  </si>
  <si>
    <t>Robinhood dividend view</t>
  </si>
  <si>
    <t>Dividends are Vendii's origin story. Show net of 10% WHT so the number matches the bank credit.</t>
  </si>
  <si>
    <t>T068</t>
  </si>
  <si>
    <t>Unclaimed dividend scan and recovery</t>
  </si>
  <si>
    <t>S2</t>
  </si>
  <si>
    <t>Finds unpaid dividends across registrars and recovers them.</t>
  </si>
  <si>
    <t>None of the trading apps</t>
  </si>
  <si>
    <t>TechCabal, Apps Nigerians use to trade on the Nigerian stock exchange (Jul 2025)</t>
  </si>
  <si>
    <t>Vendii's core product. Puts money in the account before the first trade.</t>
  </si>
  <si>
    <t>https://techcabal.com/2025/07/04/stock-investing-apps-nigerians-are-using-to-trade-in-2025/</t>
  </si>
  <si>
    <t>T069</t>
  </si>
  <si>
    <t>E-dividend mandate auto-fill</t>
  </si>
  <si>
    <t>Fills and submits registrar e-dividend forms so future dividends go to the bank.</t>
  </si>
  <si>
    <t>Already built for all 21 registrars.</t>
  </si>
  <si>
    <t>T070</t>
  </si>
  <si>
    <t>IPO and public offer subscriptions</t>
  </si>
  <si>
    <t>Apply for new offers in-app.</t>
  </si>
  <si>
    <t>Robinhood IPO Access</t>
  </si>
  <si>
    <t>Big offers drive account opening in Nigeria. Needs e-offering access through the issuing house or broker.</t>
  </si>
  <si>
    <t>T071</t>
  </si>
  <si>
    <t>S3</t>
  </si>
  <si>
    <t>TheCondia, Seven apps Nigerians use to invest in local stocks (2025)</t>
  </si>
  <si>
    <t>Rights issue acceptance</t>
  </si>
  <si>
    <t>Accept, renounce or trade rights in-app before the deadline.</t>
  </si>
  <si>
    <t>https://thecondia.com/best-apps-nigeria-stock-trading/</t>
  </si>
  <si>
    <t>IBKR, Schwab</t>
  </si>
  <si>
    <t>Retail holders miss rights deadlines and get diluted.</t>
  </si>
  <si>
    <t>T072</t>
  </si>
  <si>
    <t>Dividend reinvestment</t>
  </si>
  <si>
    <t>Automatically buy more shares with dividends.</t>
  </si>
  <si>
    <t>Robinhood DRIP</t>
  </si>
  <si>
    <t>Registrars pay to the user's bank, not the app, so this needs a routed mandate first.</t>
  </si>
  <si>
    <t>T073</t>
  </si>
  <si>
    <t>AGM notices and e-voting</t>
  </si>
  <si>
    <t>See meeting notices and vote or appoint a proxy.</t>
  </si>
  <si>
    <t>Broadridge ProxyVote, Schwab</t>
  </si>
  <si>
    <t>S4</t>
  </si>
  <si>
    <t>Low demand today, but a governance credential later.</t>
  </si>
  <si>
    <t>Daba Finance, Nigeria hikes capital requirements for capital market operators (Jan 2026)</t>
  </si>
  <si>
    <t>https://dabafinance.com/fr/nouvelles/nigeria-sec-revised-minimum-capital-rules</t>
  </si>
  <si>
    <t>T074</t>
  </si>
  <si>
    <t>Portfolio &amp; performance</t>
  </si>
  <si>
    <t>Portfolio overview</t>
  </si>
  <si>
    <t>Total value, day change, allocation by asset class.</t>
  </si>
  <si>
    <t>All apps</t>
  </si>
  <si>
    <t>Home screen. Fast to load on weak networks.</t>
  </si>
  <si>
    <t>T075</t>
  </si>
  <si>
    <t>Real return view (inflation and USD adjusted)</t>
  </si>
  <si>
    <t>Shows whether the portfolio beat inflation and naira depreciation.</t>
  </si>
  <si>
    <t>Rare anywhere</t>
  </si>
  <si>
    <t>The question every Nigerian investor actually asks. Nobody answers it on-screen today.</t>
  </si>
  <si>
    <t>S5</t>
  </si>
  <si>
    <t>SEC Nigeria, SEC Rules for FinTechs (Rule 67 sub-brokers, Rule 76 digital sub-broker governance)</t>
  </si>
  <si>
    <t>T076</t>
  </si>
  <si>
    <t>https://www.sec.gov.ng/our-mandate/regulation/rules-and-regulations/sec-rules-for-fintechs/</t>
  </si>
  <si>
    <t>Consolidated holdings across brokers and certificates</t>
  </si>
  <si>
    <t>One view of everything the user owns, wherever it sits.</t>
  </si>
  <si>
    <t>Schwab/Fidelity external accounts</t>
  </si>
  <si>
    <t>Extends the CHN import. Needed for the lending app too.</t>
  </si>
  <si>
    <t>T077</t>
  </si>
  <si>
    <t>Cost basis and total return including dividends</t>
  </si>
  <si>
    <t>Gain or loss per holding with dividends counted.</t>
  </si>
  <si>
    <t>Price-only returns understate Nigerian stocks, where dividends are a big share of return.</t>
  </si>
  <si>
    <t>T078</t>
  </si>
  <si>
    <t>Goal tracking</t>
  </si>
  <si>
    <t>School fees, rent, retirement goals with progress.</t>
  </si>
  <si>
    <t>Robinhood Strategies, PiggyVest</t>
  </si>
  <si>
    <t>Nigerian savers think in goals. Ties to recurring investments.</t>
  </si>
  <si>
    <t>S6</t>
  </si>
  <si>
    <t>Business Post, September 2026 FGN Savings Bond sales (Sep 2026)</t>
  </si>
  <si>
    <t>https://businesspost.ng/?p=212097</t>
  </si>
  <si>
    <t>T079</t>
  </si>
  <si>
    <t>Benchmark vs NGX All-Share Index</t>
  </si>
  <si>
    <t>Compare performance with the market.</t>
  </si>
  <si>
    <t>Useful for engaged users; most won't look.</t>
  </si>
  <si>
    <t>T080</t>
  </si>
  <si>
    <t>Simulated future returns</t>
  </si>
  <si>
    <t>Monte Carlo projections of portfolio value.</t>
  </si>
  <si>
    <t>Robinhood Strategies</t>
  </si>
  <si>
    <t>Looks smart, misleads on a volatile frontier market.</t>
  </si>
  <si>
    <t>S7</t>
  </si>
  <si>
    <t>T081</t>
  </si>
  <si>
    <t>Notifications</t>
  </si>
  <si>
    <t>Order, dividend and coupon notifications</t>
  </si>
  <si>
    <t>DMO public notice introducing the FGN Savings Bond (minimums by instrument)</t>
  </si>
  <si>
    <t>Push, SMS and email for fills, payments and corporate actions.</t>
  </si>
  <si>
    <t>https://doclib.ngxgroup.com/products-site/bonds-site/Documents/Public%20Notice%20on%20the%20FGN%20Savings%20Bond.pdf</t>
  </si>
  <si>
    <t>SMS still matters; many users switch off push.</t>
  </si>
  <si>
    <t>T082</t>
  </si>
  <si>
    <t>Price alerts</t>
  </si>
  <si>
    <t>Alert when a stock hits a price or moves by a percentage.</t>
  </si>
  <si>
    <t>Doubles as a stop-loss substitute until real stop orders exist.</t>
  </si>
  <si>
    <t>T083</t>
  </si>
  <si>
    <t>WhatsApp channel for alerts and support</t>
  </si>
  <si>
    <t>Opt-in alerts and support on WhatsApp.</t>
  </si>
  <si>
    <t>Nigerian banks and fintechs</t>
  </si>
  <si>
    <t>Where Nigerians actually read messages. Use the official Business API.</t>
  </si>
  <si>
    <t>T084</t>
  </si>
  <si>
    <t>Daily market wrap</t>
  </si>
  <si>
    <t>Short end-of-day summary of the market and the user's holdings.</t>
  </si>
  <si>
    <t>Robinhood Snacks, Bamboo</t>
  </si>
  <si>
    <t>Keeps users engaged without pushing them to trade.</t>
  </si>
  <si>
    <t>S8</t>
  </si>
  <si>
    <t>Nairametrics, CSCS to slash retail lien fees, scrap family transfer charges (Aug 2026)</t>
  </si>
  <si>
    <t>https://nairametrics.com/2026/08/26/breaking-cscs-to-slash-retail-lien-fees-scrap-family-transfer-charges-in-fresh-pricing-review/</t>
  </si>
  <si>
    <t>T085</t>
  </si>
  <si>
    <t>Education &amp; trust</t>
  </si>
  <si>
    <t>Where your shares sit</t>
  </si>
  <si>
    <t>Shows that shares are held in the user's name at CSCS, plus licences and sponsoring broker.</t>
  </si>
  <si>
    <t>Robinhood SIPC badge, Schwab</t>
  </si>
  <si>
    <t>Nigerian investors have been burned by brokers misusing client shares. Proof of custody is the trust anchor.</t>
  </si>
  <si>
    <t>T086</t>
  </si>
  <si>
    <t>Public status page and incident notices</t>
  </si>
  <si>
    <t>Live service status and honest outage messages.</t>
  </si>
  <si>
    <t>Robinhood status page, IBKR</t>
  </si>
  <si>
    <t>Users keep backup investment apps because platforms go down. Owning reliability publicly is a selling point.</t>
  </si>
  <si>
    <t>T087</t>
  </si>
  <si>
    <t>Tap-to-explain terms on every screen</t>
  </si>
  <si>
    <t>Tap 'qualification date' or 'yield' and get a two-line explanation.</t>
  </si>
  <si>
    <t>Robinhood Learn, Public</t>
  </si>
  <si>
    <t>Most users are first-time investors. Explain in context, not in a separate academy.</t>
  </si>
  <si>
    <t>T088</t>
  </si>
  <si>
    <t>Learn hub</t>
  </si>
  <si>
    <t>Short lessons and a glossary.</t>
  </si>
  <si>
    <t>S9</t>
  </si>
  <si>
    <t>Bamboo, Robinhood Learn</t>
  </si>
  <si>
    <t>Useful for SEO and onboarding. Keep it short.</t>
  </si>
  <si>
    <t>How We Made It In Africa, New margin trading rules for Nigeria (FSRCC, 2010)</t>
  </si>
  <si>
    <t>https://www.howwemadeitinafrica.com/new-margin-trading-rules-for-nigeria/</t>
  </si>
  <si>
    <t>T089</t>
  </si>
  <si>
    <t>Practice mode (paper trading)</t>
  </si>
  <si>
    <t>Trade with fake money.</t>
  </si>
  <si>
    <t>Webull, Robinhood (simulated returns)</t>
  </si>
  <si>
    <t>Nice for nervous first-timers; low priority.</t>
  </si>
  <si>
    <t>T090</t>
  </si>
  <si>
    <t>Local language support</t>
  </si>
  <si>
    <t>Pidgin, Yoruba, Hausa, Igbo.</t>
  </si>
  <si>
    <t>Some Nigerian banks</t>
  </si>
  <si>
    <t>Opens older and northern investors. Start with Pidgin and Hausa if demand shows.</t>
  </si>
  <si>
    <t>T091</t>
  </si>
  <si>
    <t>Security</t>
  </si>
  <si>
    <t>S10</t>
  </si>
  <si>
    <t>Biometric login and transaction PIN</t>
  </si>
  <si>
    <t>Vanguard, CBN did not ban bank shares as loan collateral</t>
  </si>
  <si>
    <t>Fingerprint or face to open; PIN to trade or withdraw.</t>
  </si>
  <si>
    <t>https://www.vanguardngr.com/?p=68407</t>
  </si>
  <si>
    <t>Matches what Nigerian bank apps already train users to expect.</t>
  </si>
  <si>
    <t>T092</t>
  </si>
  <si>
    <t>Device binding and new-device alerts</t>
  </si>
  <si>
    <t>Account tied to approved devices; alerts on any new login.</t>
  </si>
  <si>
    <t>Banks, Robinhood</t>
  </si>
  <si>
    <t>SIM-swap fraud is common. Re-verify with BVN selfie on new device.</t>
  </si>
  <si>
    <t>T093</t>
  </si>
  <si>
    <t>2FA on withdrawals and bank account changes</t>
  </si>
  <si>
    <t>Second factor for any money-out or payout change.</t>
  </si>
  <si>
    <t>Add a 24-hour hold on payout account changes.</t>
  </si>
  <si>
    <t>S11</t>
  </si>
  <si>
    <t>T094</t>
  </si>
  <si>
    <t>TechCabal, VBank x Anchoria unveil shares-backed loan (Oct 2025)</t>
  </si>
  <si>
    <t>Sensitive-screen protection and session timeout</t>
  </si>
  <si>
    <t>Blocks screenshots on key screens; logs out idle sessions.</t>
  </si>
  <si>
    <t>https://techcabal.com/2025/10/03/vbank-x-anchoria-unveil-shares-backed-loan-borrow-without-selling-your-stocks/</t>
  </si>
  <si>
    <t>Banking apps</t>
  </si>
  <si>
    <t>Shared phones are common.</t>
  </si>
  <si>
    <t>T095</t>
  </si>
  <si>
    <t>Freeze account button</t>
  </si>
  <si>
    <t>User locks their own account instantly if a phone is stolen.</t>
  </si>
  <si>
    <t>Some neobanks</t>
  </si>
  <si>
    <t>Cheap to build, big relief for users when it matters.</t>
  </si>
  <si>
    <t>S12</t>
  </si>
  <si>
    <t>Schwab, Pledged Asset Line overview and Advance Rate Lookup</t>
  </si>
  <si>
    <t>T096</t>
  </si>
  <si>
    <t>Support &amp; complaints</t>
  </si>
  <si>
    <t>https://www.schwab.com/PAL</t>
  </si>
  <si>
    <t>In-app chat with human escalation</t>
  </si>
  <si>
    <t>Chat support that reaches a person when needed.</t>
  </si>
  <si>
    <t>Robinhood (24/7 chat), Bamboo</t>
  </si>
  <si>
    <t>Response time is the top complaint across Nigerian investment app reviews.</t>
  </si>
  <si>
    <t>T097</t>
  </si>
  <si>
    <t>Complaints log with tracked timelines</t>
  </si>
  <si>
    <t>Every complaint gets a ticket, status and resolution deadline.</t>
  </si>
  <si>
    <t>Regulated brokers</t>
  </si>
  <si>
    <t>Digital sub-brokers must keep an SEC-compliant complaint management policy.</t>
  </si>
  <si>
    <t>T098</t>
  </si>
  <si>
    <t>Help centre and FAQ</t>
  </si>
  <si>
    <t>Searchable answers to common questions.</t>
  </si>
  <si>
    <t>Cuts ticket volume.</t>
  </si>
  <si>
    <t>S13</t>
  </si>
  <si>
    <t>Schwab, Is a securities-based line of credit right for you (non-purpose rule, sales without notice)</t>
  </si>
  <si>
    <t>https://www.schwab.com/learn/story/is-securities-based-line-of-credit-right-for-you</t>
  </si>
  <si>
    <t>T099</t>
  </si>
  <si>
    <t>Statements &amp; tax</t>
  </si>
  <si>
    <t>Monthly statements and CSCS statement download</t>
  </si>
  <si>
    <t>Account and holdings statements on demand.</t>
  </si>
  <si>
    <t>Needed for visa applications, loans and audits.</t>
  </si>
  <si>
    <t>T100</t>
  </si>
  <si>
    <t>Annual tax pack</t>
  </si>
  <si>
    <t>Dividends received with WHT deducted, disposals and gains for the year.</t>
  </si>
  <si>
    <t>Schwab 1099, Robinhood tax centre</t>
  </si>
  <si>
    <t>Nigeria's 2025 tax reforms changed treatment of share gains (details not verified; confirm with a tax adviser).</t>
  </si>
  <si>
    <t>S14</t>
  </si>
  <si>
    <t>Inc42, How Volt Money is unlocking the value of mutual funds (SDKs, lien release)</t>
  </si>
  <si>
    <t>https://inc42.com/?p=406930</t>
  </si>
  <si>
    <t>T101</t>
  </si>
  <si>
    <t>CSV and PDF export</t>
  </si>
  <si>
    <t>Export transactions and holdings.</t>
  </si>
  <si>
    <t>Power users and accountants want it.</t>
  </si>
  <si>
    <t>T102</t>
  </si>
  <si>
    <t>Growth</t>
  </si>
  <si>
    <t>Referral rewards</t>
  </si>
  <si>
    <t>Reward users who bring friends.</t>
  </si>
  <si>
    <t>Robinhood free stock, Bamboo</t>
  </si>
  <si>
    <t>Pay in cash or fees waived, not free shares, to keep it simple.</t>
  </si>
  <si>
    <t>T103</t>
  </si>
  <si>
    <t>Gift shares to family and friends</t>
  </si>
  <si>
    <t>Send shares as a gift.</t>
  </si>
  <si>
    <t>Trove stock gifting</t>
  </si>
  <si>
    <t>CSCS is set to scrap charges on transfers between immediate family (reported Aug 2026).</t>
  </si>
  <si>
    <t>S15</t>
  </si>
  <si>
    <t>CB Insights, Volt Money profile (eligibility in seconds, no prepayment charges, Groww flexible pledge)</t>
  </si>
  <si>
    <t>https://www.cbinsights.com/company/volt-money</t>
  </si>
  <si>
    <t>T104</t>
  </si>
  <si>
    <t>Paid subscription tier</t>
  </si>
  <si>
    <t>Premium plan with extra features or lower fees.</t>
  </si>
  <si>
    <t>Robinhood Gold</t>
  </si>
  <si>
    <t>Nothing yet worth charging a subscription for.</t>
  </si>
  <si>
    <t>T105</t>
  </si>
  <si>
    <t>Share-to-social portfolio cards</t>
  </si>
  <si>
    <t>Shareable images of gains.</t>
  </si>
  <si>
    <t>Vanity feature.</t>
  </si>
  <si>
    <t>T106</t>
  </si>
  <si>
    <t>Platform &amp; experience</t>
  </si>
  <si>
    <t>S16</t>
  </si>
  <si>
    <t>One-tap 'borrow against my shares' link to lending app</t>
  </si>
  <si>
    <t>Global IME Bank Nepal, Loan Against Share (valuation at lower of 180-day average or market)</t>
  </si>
  <si>
    <t>Entry point from holdings to a loan offer.</t>
  </si>
  <si>
    <t>https://www.globalimebank.com/products/loans/loan-against-share/</t>
  </si>
  <si>
    <t>Groww (LAS from dashboard)</t>
  </si>
  <si>
    <t>Connects the two Vendii apps. Times with lending launch.</t>
  </si>
  <si>
    <t>T107</t>
  </si>
  <si>
    <t>Low-data mode and small app size</t>
  </si>
  <si>
    <t>Light screens, cached data, small download.</t>
  </si>
  <si>
    <t>Facebook Lite model, Opay</t>
  </si>
  <si>
    <t>Most users are on Android with costly data. Speed on a ₦80,000 phone matters more than polish.</t>
  </si>
  <si>
    <t>T108</t>
  </si>
  <si>
    <t>Desktop web with its own layout</t>
  </si>
  <si>
    <t>A proper desktop experience, not a stretched phone screen.</t>
  </si>
  <si>
    <t>Older and wealthier investors use laptops for larger trades.</t>
  </si>
  <si>
    <t>T109</t>
  </si>
  <si>
    <t>Font scaling and contrast support</t>
  </si>
  <si>
    <t>Respects system text size; readable contrast.</t>
  </si>
  <si>
    <t>iOS/Android accessibility guidance</t>
  </si>
  <si>
    <t>Older shareholders are a big part of the dividend recovery base.</t>
  </si>
  <si>
    <t>S17</t>
  </si>
  <si>
    <t>Robinhood, HOOD Summit 2025 announcements (Social, Legend, Cortex scans)</t>
  </si>
  <si>
    <t>https://robinhood.com/newsroom/hood-summit-2025-news/</t>
  </si>
  <si>
    <t>T110</t>
  </si>
  <si>
    <t>Dark mode</t>
  </si>
  <si>
    <t>Dark colour theme.</t>
  </si>
  <si>
    <t>Most apps</t>
  </si>
  <si>
    <t>Expected by some users; low effort with design tokens.</t>
  </si>
  <si>
    <t>T111</t>
  </si>
  <si>
    <t>US stocks and ETFs</t>
  </si>
  <si>
    <t>Trade foreign stocks.</t>
  </si>
  <si>
    <t>Bamboo, Trove, Chaka</t>
  </si>
  <si>
    <t>SEC has been wary of foreign-stock platforms; needs FX and separate arrangements outside the Trust Bank sponsorship. Crowded space.</t>
  </si>
  <si>
    <t>T112</t>
  </si>
  <si>
    <t>Back office &amp; compliance</t>
  </si>
  <si>
    <t>Sponsoring broker integration</t>
  </si>
  <si>
    <t>Order routing, confirmations and positions with Trust Bank Securities.</t>
  </si>
  <si>
    <t>Chaka, Bamboo (broker partners)</t>
  </si>
  <si>
    <t>S18</t>
  </si>
  <si>
    <t>Manual order desk at launch, API in Phase 2. The bank's IT head sees the API connection as the main work.</t>
  </si>
  <si>
    <t>Robinhood, Introducing Strategies, Banking and Cortex (Mar 2025)</t>
  </si>
  <si>
    <t>https://robinhood.com/newsroom/introducing-strategies-banking-and-cortex</t>
  </si>
  <si>
    <t>T113</t>
  </si>
  <si>
    <t>Daily reconciliation</t>
  </si>
  <si>
    <t>Matches cash, positions and CSCS records against the internal ledger.</t>
  </si>
  <si>
    <t>Breaks here become client losses and regulator findings.</t>
  </si>
  <si>
    <t>T114</t>
  </si>
  <si>
    <t>AML screening and transaction monitoring</t>
  </si>
  <si>
    <t>PEP and sanctions screening, suspicious activity flags, NFIU reporting.</t>
  </si>
  <si>
    <t>Mandatory. Buy, don't build.</t>
  </si>
  <si>
    <t>S19</t>
  </si>
  <si>
    <t>Leadership, SEC proposes retail caps for digital asset investments (Sep 2026)</t>
  </si>
  <si>
    <t>T115</t>
  </si>
  <si>
    <t>https://leadership.ng/?p=681444</t>
  </si>
  <si>
    <t>Admin console</t>
  </si>
  <si>
    <t>User lookup, KYC review, order desk, overrides, all with an audit trail.</t>
  </si>
  <si>
    <t>Internal tools at every broker</t>
  </si>
  <si>
    <t>The manual-first launch runs on this console.</t>
  </si>
  <si>
    <t>T116</t>
  </si>
  <si>
    <t>Regulatory reporting pack</t>
  </si>
  <si>
    <t>Reports for SEC and the sponsoring broker.</t>
  </si>
  <si>
    <t>Required under digital sub-broker rules.</t>
  </si>
  <si>
    <t>T117</t>
  </si>
  <si>
    <t>Market data feed</t>
  </si>
  <si>
    <t>Prices and corporate data, delayed at launch and real-time later.</t>
  </si>
  <si>
    <t>S20</t>
  </si>
  <si>
    <t>NGX data licence needed. Show 'delayed' clearly if prices are not live.</t>
  </si>
  <si>
    <t>SEC Nigeria, How margin loans work (investor education)</t>
  </si>
  <si>
    <t>https://sec.gov.ng/our-mandate/development/investor-education/investment-basics/how-margin-loans-work/</t>
  </si>
  <si>
    <t>T118</t>
  </si>
  <si>
    <t>Feature flags and kill switch</t>
  </si>
  <si>
    <t>Turn features off fast without a new release.</t>
  </si>
  <si>
    <t>Standard engineering practice</t>
  </si>
  <si>
    <t>Lets you pause trading or a product during an incident.</t>
  </si>
  <si>
    <t>T119</t>
  </si>
  <si>
    <t>Product analytics and funnel tracking</t>
  </si>
  <si>
    <t>Where users drop off in signup, funding and first trade.</t>
  </si>
  <si>
    <t>Standard</t>
  </si>
  <si>
    <t>Tells you which of these features to build next.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</si>
</sst>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Space Grotesk"/>
    </font>
    <font>
      <b/>
      <sz val="13.0"/>
      <color rgb="FF295D8F"/>
      <name val="Space Grotesk"/>
    </font>
    <font>
      <b/>
      <sz val="16.0"/>
      <color rgb="FF295D8F"/>
      <name val="Space Grotesk"/>
    </font>
    <font>
      <sz val="10.0"/>
      <color rgb="FF7F7F7F"/>
      <name val="Space Grotesk"/>
    </font>
    <font>
      <sz val="10.0"/>
      <color rgb="FF17375A"/>
      <name val="Space Grotesk"/>
    </font>
    <font>
      <b/>
      <sz val="12.0"/>
      <color rgb="FF17375A"/>
      <name val="Space Grotesk"/>
    </font>
    <font>
      <b/>
      <sz val="10.0"/>
      <color rgb="FF17375A"/>
      <name val="Space Grotesk"/>
    </font>
    <font>
      <b/>
      <sz val="10.0"/>
      <color rgb="FF7F7F7F"/>
      <name val="Space Grotesk"/>
    </font>
    <font>
      <b/>
      <i/>
      <sz val="10.0"/>
      <color rgb="FF7F7F7F"/>
      <name val="Space Grotesk"/>
    </font>
    <font>
      <u/>
      <sz val="10.0"/>
      <color rgb="FF295D8F"/>
      <name val="Space Grotesk"/>
    </font>
  </fonts>
  <fills count="9">
    <fill>
      <patternFill patternType="none"/>
    </fill>
    <fill>
      <patternFill patternType="lightGray"/>
    </fill>
    <fill>
      <patternFill patternType="solid">
        <fgColor rgb="FF295D8F"/>
        <bgColor rgb="FF295D8F"/>
      </patternFill>
    </fill>
    <fill>
      <patternFill patternType="solid">
        <fgColor rgb="FFC59F56"/>
        <bgColor rgb="FFC59F56"/>
      </patternFill>
    </fill>
    <fill>
      <patternFill patternType="solid">
        <fgColor rgb="FF17375A"/>
        <bgColor rgb="FF17375A"/>
      </patternFill>
    </fill>
    <fill>
      <patternFill patternType="solid">
        <fgColor rgb="FFFFF4CC"/>
        <bgColor rgb="FFFFF4CC"/>
      </patternFill>
    </fill>
    <fill>
      <patternFill patternType="solid">
        <fgColor rgb="FFD6E4F0"/>
        <bgColor rgb="FFD6E4F0"/>
      </patternFill>
    </fill>
    <fill>
      <patternFill patternType="solid">
        <fgColor rgb="FFEEF2F6"/>
        <bgColor rgb="FFEEF2F6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4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readingOrder="0" shrinkToFit="0" vertical="top" wrapText="1"/>
    </xf>
    <xf borderId="1" fillId="5" fontId="5" numFmtId="0" xfId="0" applyAlignment="1" applyBorder="1" applyFill="1" applyFont="1">
      <alignment shrinkToFit="0" vertical="top" wrapText="1"/>
    </xf>
    <xf borderId="2" fillId="3" fontId="7" numFmtId="0" xfId="0" applyAlignment="1" applyBorder="1" applyFill="1" applyFont="1">
      <alignment shrinkToFit="0" vertical="bottom" wrapText="0"/>
    </xf>
    <xf borderId="2" fillId="6" fontId="7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2" fillId="7" fontId="7" numFmtId="0" xfId="0" applyAlignment="1" applyBorder="1" applyFill="1" applyFont="1">
      <alignment shrinkToFit="0" vertical="bottom" wrapText="0"/>
    </xf>
    <xf borderId="1" fillId="6" fontId="7" numFmtId="0" xfId="0" applyAlignment="1" applyBorder="1" applyFill="1" applyFont="1">
      <alignment shrinkToFit="0" vertical="top" wrapText="1"/>
    </xf>
    <xf borderId="1" fillId="3" fontId="7" numFmtId="0" xfId="0" applyAlignment="1" applyBorder="1" applyFill="1" applyFont="1">
      <alignment shrinkToFit="0" vertical="top" wrapText="1"/>
    </xf>
    <xf borderId="2" fillId="8" fontId="8" numFmtId="0" xfId="0" applyAlignment="1" applyBorder="1" applyFill="1" applyFont="1">
      <alignment shrinkToFit="0" vertical="bottom" wrapText="0"/>
    </xf>
    <xf borderId="2" fillId="8" fontId="9" numFmtId="0" xfId="0" applyAlignment="1" applyBorder="1" applyFill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1" fillId="7" fontId="7" numFmtId="0" xfId="0" applyAlignment="1" applyBorder="1" applyFill="1" applyFont="1">
      <alignment shrinkToFit="0" vertical="top" wrapText="1"/>
    </xf>
    <xf borderId="1" fillId="6" fontId="7" numFmtId="0" xfId="0" applyAlignment="1" applyBorder="1" applyFill="1" applyFont="1">
      <alignment shrinkToFit="0" vertical="bottom" wrapText="0"/>
    </xf>
    <xf borderId="1" fillId="7" fontId="7" numFmtId="0" xfId="0" applyAlignment="1" applyBorder="1" applyFill="1" applyFont="1">
      <alignment shrinkToFit="0" vertical="bottom" wrapText="0"/>
    </xf>
    <xf borderId="1" fillId="8" fontId="8" numFmtId="0" xfId="0" applyAlignment="1" applyBorder="1" applyFill="1" applyFont="1">
      <alignment shrinkToFit="0" vertical="bottom" wrapText="0"/>
    </xf>
    <xf borderId="1" fillId="8" fontId="9" numFmtId="0" xfId="0" applyAlignment="1" applyBorder="1" applyFill="1" applyFont="1">
      <alignment shrinkToFit="0" vertical="top" wrapText="1"/>
    </xf>
    <xf borderId="1" fillId="8" fontId="9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8" fontId="8" numFmtId="0" xfId="0" applyAlignment="1" applyBorder="1" applyFill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sec.gov.ng/our-mandate/development/investor-education/investment-basics/how-margin-loans-work/" TargetMode="External"/><Relationship Id="rId11" Type="http://schemas.openxmlformats.org/officeDocument/2006/relationships/hyperlink" Target="https://techcabal.com/2025/10/03/vbank-x-anchoria-unveil-shares-backed-loan-borrow-without-selling-your-stocks/" TargetMode="External"/><Relationship Id="rId10" Type="http://schemas.openxmlformats.org/officeDocument/2006/relationships/hyperlink" Target="https://www.vanguardngr.com/?p=68407" TargetMode="External"/><Relationship Id="rId21" Type="http://schemas.openxmlformats.org/officeDocument/2006/relationships/drawing" Target="../drawings/drawing6.xml"/><Relationship Id="rId13" Type="http://schemas.openxmlformats.org/officeDocument/2006/relationships/hyperlink" Target="https://www.schwab.com/learn/story/is-securities-based-line-of-credit-right-for-you" TargetMode="External"/><Relationship Id="rId12" Type="http://schemas.openxmlformats.org/officeDocument/2006/relationships/hyperlink" Target="https://www.schwab.com/PAL" TargetMode="External"/><Relationship Id="rId1" Type="http://schemas.openxmlformats.org/officeDocument/2006/relationships/hyperlink" Target="https://nairametrics.com/2026/06/02/top-10-investment-apps-in-in-nigeria-as-of-may-2026/" TargetMode="External"/><Relationship Id="rId2" Type="http://schemas.openxmlformats.org/officeDocument/2006/relationships/hyperlink" Target="https://techcabal.com/2025/07/04/stock-investing-apps-nigerians-are-using-to-trade-in-2025/" TargetMode="External"/><Relationship Id="rId3" Type="http://schemas.openxmlformats.org/officeDocument/2006/relationships/hyperlink" Target="https://thecondia.com/best-apps-nigeria-stock-trading/" TargetMode="External"/><Relationship Id="rId4" Type="http://schemas.openxmlformats.org/officeDocument/2006/relationships/hyperlink" Target="https://dabafinance.com/fr/nouvelles/nigeria-sec-revised-minimum-capital-rules" TargetMode="External"/><Relationship Id="rId9" Type="http://schemas.openxmlformats.org/officeDocument/2006/relationships/hyperlink" Target="https://www.howwemadeitinafrica.com/new-margin-trading-rules-for-nigeria/" TargetMode="External"/><Relationship Id="rId15" Type="http://schemas.openxmlformats.org/officeDocument/2006/relationships/hyperlink" Target="https://www.cbinsights.com/company/volt-money" TargetMode="External"/><Relationship Id="rId14" Type="http://schemas.openxmlformats.org/officeDocument/2006/relationships/hyperlink" Target="https://inc42.com/?p=406930" TargetMode="External"/><Relationship Id="rId17" Type="http://schemas.openxmlformats.org/officeDocument/2006/relationships/hyperlink" Target="https://robinhood.com/newsroom/hood-summit-2025-news/" TargetMode="External"/><Relationship Id="rId16" Type="http://schemas.openxmlformats.org/officeDocument/2006/relationships/hyperlink" Target="https://www.globalimebank.com/products/loans/loan-against-share/" TargetMode="External"/><Relationship Id="rId5" Type="http://schemas.openxmlformats.org/officeDocument/2006/relationships/hyperlink" Target="https://www.sec.gov.ng/our-mandate/regulation/rules-and-regulations/sec-rules-for-fintechs/" TargetMode="External"/><Relationship Id="rId19" Type="http://schemas.openxmlformats.org/officeDocument/2006/relationships/hyperlink" Target="https://leadership.ng/?p=681444" TargetMode="External"/><Relationship Id="rId6" Type="http://schemas.openxmlformats.org/officeDocument/2006/relationships/hyperlink" Target="https://businesspost.ng/?p=212097" TargetMode="External"/><Relationship Id="rId18" Type="http://schemas.openxmlformats.org/officeDocument/2006/relationships/hyperlink" Target="https://robinhood.com/newsroom/introducing-strategies-banking-and-cortex" TargetMode="External"/><Relationship Id="rId7" Type="http://schemas.openxmlformats.org/officeDocument/2006/relationships/hyperlink" Target="https://doclib.ngxgroup.com/products-site/bonds-site/Documents/Public%20Notice%20on%20the%20FGN%20Savings%20Bond.pdf" TargetMode="External"/><Relationship Id="rId8" Type="http://schemas.openxmlformats.org/officeDocument/2006/relationships/hyperlink" Target="https://nairametrics.com/2026/08/26/breaking-cscs-to-slash-retail-lien-fees-scrap-family-transfer-charges-in-fresh-pricing-re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95.0"/>
    <col customWidth="1" min="4" max="26" width="8.71"/>
  </cols>
  <sheetData>
    <row r="2">
      <c r="B2" s="3" t="s">
        <v>1</v>
      </c>
    </row>
    <row r="3">
      <c r="B3" s="6" t="s">
        <v>11</v>
      </c>
    </row>
    <row r="5">
      <c r="B5" s="8" t="s">
        <v>18</v>
      </c>
    </row>
    <row r="6">
      <c r="B6" s="10" t="s">
        <v>21</v>
      </c>
      <c r="C6" s="11" t="s">
        <v>26</v>
      </c>
    </row>
    <row r="7">
      <c r="B7" s="10" t="s">
        <v>30</v>
      </c>
      <c r="C7" s="11" t="s">
        <v>32</v>
      </c>
    </row>
    <row r="8">
      <c r="B8" s="10" t="s">
        <v>34</v>
      </c>
      <c r="C8" s="11" t="s">
        <v>35</v>
      </c>
    </row>
    <row r="9">
      <c r="B9" s="10" t="s">
        <v>37</v>
      </c>
      <c r="C9" s="11" t="s">
        <v>38</v>
      </c>
    </row>
    <row r="10">
      <c r="B10" s="10" t="s">
        <v>40</v>
      </c>
      <c r="C10" s="11" t="s">
        <v>41</v>
      </c>
    </row>
    <row r="12">
      <c r="B12" s="8" t="s">
        <v>42</v>
      </c>
    </row>
    <row r="13">
      <c r="B13" s="14" t="s">
        <v>28</v>
      </c>
      <c r="C13" s="11" t="s">
        <v>43</v>
      </c>
    </row>
    <row r="14">
      <c r="B14" s="17" t="s">
        <v>55</v>
      </c>
      <c r="C14" s="11" t="s">
        <v>57</v>
      </c>
    </row>
    <row r="15">
      <c r="B15" s="18" t="s">
        <v>67</v>
      </c>
      <c r="C15" s="11" t="s">
        <v>68</v>
      </c>
    </row>
    <row r="16">
      <c r="B16" s="20" t="s">
        <v>71</v>
      </c>
      <c r="C16" s="11" t="s">
        <v>79</v>
      </c>
    </row>
    <row r="17">
      <c r="B17" s="23" t="s">
        <v>81</v>
      </c>
      <c r="C17" s="11" t="s">
        <v>84</v>
      </c>
    </row>
    <row r="18">
      <c r="B18" s="24" t="s">
        <v>89</v>
      </c>
      <c r="C18" s="11" t="s">
        <v>95</v>
      </c>
    </row>
    <row r="20">
      <c r="B20" s="8" t="s">
        <v>96</v>
      </c>
    </row>
    <row r="21" ht="15.75" customHeight="1">
      <c r="B21" s="10" t="s">
        <v>99</v>
      </c>
      <c r="C21" s="11" t="s">
        <v>102</v>
      </c>
    </row>
    <row r="22" ht="15.75" customHeight="1">
      <c r="B22" s="10" t="s">
        <v>105</v>
      </c>
      <c r="C22" s="11" t="s">
        <v>108</v>
      </c>
    </row>
    <row r="23" ht="15.75" customHeight="1">
      <c r="B23" s="10" t="s">
        <v>110</v>
      </c>
      <c r="C23" s="11" t="s">
        <v>112</v>
      </c>
    </row>
    <row r="24" ht="15.75" customHeight="1">
      <c r="B24" s="10" t="s">
        <v>114</v>
      </c>
      <c r="C24" s="11" t="s">
        <v>116</v>
      </c>
    </row>
    <row r="25" ht="15.75" customHeight="1">
      <c r="B25" s="10" t="s">
        <v>118</v>
      </c>
      <c r="C25" s="11" t="s">
        <v>120</v>
      </c>
    </row>
    <row r="26" ht="15.75" customHeight="1">
      <c r="B26" s="10" t="s">
        <v>122</v>
      </c>
      <c r="C26" s="11" t="s">
        <v>125</v>
      </c>
    </row>
    <row r="27" ht="15.75" customHeight="1">
      <c r="B27" s="10" t="s">
        <v>127</v>
      </c>
      <c r="C27" s="11" t="s">
        <v>129</v>
      </c>
    </row>
    <row r="28" ht="15.75" customHeight="1">
      <c r="B28" s="10" t="s">
        <v>131</v>
      </c>
      <c r="C28" s="11" t="s">
        <v>133</v>
      </c>
    </row>
    <row r="29" ht="15.75" customHeight="1">
      <c r="B29" s="10" t="s">
        <v>135</v>
      </c>
      <c r="C29" s="11" t="s">
        <v>137</v>
      </c>
    </row>
    <row r="30" ht="15.75" customHeight="1"/>
    <row r="31" ht="15.75" customHeight="1">
      <c r="B31" s="8" t="s">
        <v>139</v>
      </c>
    </row>
    <row r="32" ht="15.75" customHeight="1">
      <c r="B32" s="10" t="s">
        <v>21</v>
      </c>
      <c r="C32" s="11" t="s">
        <v>142</v>
      </c>
    </row>
    <row r="33" ht="15.75" customHeight="1">
      <c r="B33" s="10" t="s">
        <v>30</v>
      </c>
      <c r="C33" s="11" t="s">
        <v>144</v>
      </c>
    </row>
    <row r="34" ht="15.75" customHeight="1">
      <c r="B34" s="10" t="s">
        <v>34</v>
      </c>
      <c r="C34" s="11" t="s">
        <v>146</v>
      </c>
    </row>
    <row r="35" ht="15.75" customHeight="1">
      <c r="B35" s="10" t="s">
        <v>37</v>
      </c>
      <c r="C35" s="11" t="s">
        <v>148</v>
      </c>
    </row>
    <row r="36" ht="15.75" customHeight="1">
      <c r="B36" s="10" t="s">
        <v>40</v>
      </c>
      <c r="C36" s="11" t="s">
        <v>151</v>
      </c>
    </row>
    <row r="37" ht="15.75" customHeight="1"/>
    <row r="38" ht="15.75" customHeight="1">
      <c r="B38" s="8" t="s">
        <v>153</v>
      </c>
    </row>
    <row r="39" ht="15.75" customHeight="1">
      <c r="B39" s="10" t="s">
        <v>21</v>
      </c>
      <c r="C39" s="11" t="s">
        <v>154</v>
      </c>
    </row>
    <row r="40" ht="15.75" customHeight="1">
      <c r="B40" s="10" t="s">
        <v>30</v>
      </c>
      <c r="C40" s="11" t="s">
        <v>155</v>
      </c>
    </row>
    <row r="41" ht="15.75" customHeight="1">
      <c r="B41" s="10" t="s">
        <v>34</v>
      </c>
      <c r="C41" s="11" t="s">
        <v>158</v>
      </c>
    </row>
    <row r="42" ht="15.75" customHeight="1">
      <c r="B42" s="10" t="s">
        <v>37</v>
      </c>
      <c r="C42" s="11" t="s">
        <v>162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14.0"/>
    <col customWidth="1" min="4" max="4" width="20.0"/>
    <col customWidth="1" min="5" max="6" width="14.0"/>
    <col customWidth="1" min="7" max="26" width="8.71"/>
  </cols>
  <sheetData>
    <row r="2">
      <c r="B2" s="2" t="s">
        <v>2</v>
      </c>
    </row>
    <row r="4">
      <c r="B4" s="4" t="s">
        <v>8</v>
      </c>
      <c r="C4" s="4" t="s">
        <v>12</v>
      </c>
      <c r="D4" s="4" t="s">
        <v>13</v>
      </c>
      <c r="E4" s="4" t="s">
        <v>15</v>
      </c>
    </row>
    <row r="5">
      <c r="B5" s="13" t="s">
        <v>28</v>
      </c>
      <c r="C5" s="19">
        <f>COUNTIF('Trading app'!$G$2:$G$120,B5)</f>
        <v>33</v>
      </c>
      <c r="D5" s="19">
        <f>COUNTIF('Lending app'!$G$2:$G$67,B5)</f>
        <v>30</v>
      </c>
      <c r="E5" s="19">
        <f t="shared" ref="E5:E10" si="1">C5+D5</f>
        <v>63</v>
      </c>
    </row>
    <row r="6">
      <c r="B6" s="25" t="s">
        <v>55</v>
      </c>
      <c r="C6" s="19">
        <f>COUNTIF('Trading app'!$G$2:$G$120,B6)</f>
        <v>15</v>
      </c>
      <c r="D6" s="19">
        <f>COUNTIF('Lending app'!$G$2:$G$67,B6)</f>
        <v>10</v>
      </c>
      <c r="E6" s="19">
        <f t="shared" si="1"/>
        <v>25</v>
      </c>
    </row>
    <row r="7">
      <c r="B7" s="27" t="s">
        <v>67</v>
      </c>
      <c r="C7" s="19">
        <f>COUNTIF('Trading app'!$G$2:$G$120,B7)</f>
        <v>42</v>
      </c>
      <c r="D7" s="19">
        <f>COUNTIF('Lending app'!$G$2:$G$67,B7)</f>
        <v>15</v>
      </c>
      <c r="E7" s="19">
        <f t="shared" si="1"/>
        <v>57</v>
      </c>
    </row>
    <row r="8">
      <c r="B8" s="28" t="s">
        <v>71</v>
      </c>
      <c r="C8" s="19">
        <f>COUNTIF('Trading app'!$G$2:$G$120,B8)</f>
        <v>15</v>
      </c>
      <c r="D8" s="19">
        <f>COUNTIF('Lending app'!$G$2:$G$67,B8)</f>
        <v>6</v>
      </c>
      <c r="E8" s="19">
        <f t="shared" si="1"/>
        <v>21</v>
      </c>
    </row>
    <row r="9">
      <c r="B9" s="29" t="s">
        <v>81</v>
      </c>
      <c r="C9" s="19">
        <f>COUNTIF('Trading app'!$G$2:$G$120,B9)</f>
        <v>8</v>
      </c>
      <c r="D9" s="19">
        <f>COUNTIF('Lending app'!$G$2:$G$67,B9)</f>
        <v>3</v>
      </c>
      <c r="E9" s="19">
        <f t="shared" si="1"/>
        <v>11</v>
      </c>
    </row>
    <row r="10">
      <c r="B10" s="31" t="s">
        <v>89</v>
      </c>
      <c r="C10" s="19">
        <f>COUNTIF('Trading app'!$G$2:$G$120,B10)</f>
        <v>6</v>
      </c>
      <c r="D10" s="19">
        <f>COUNTIF('Lending app'!$G$2:$G$67,B10)</f>
        <v>2</v>
      </c>
      <c r="E10" s="19">
        <f t="shared" si="1"/>
        <v>8</v>
      </c>
    </row>
    <row r="11">
      <c r="B11" s="32" t="s">
        <v>15</v>
      </c>
      <c r="C11" s="32">
        <f t="shared" ref="C11:E11" si="2">SUM(C5:C10)</f>
        <v>119</v>
      </c>
      <c r="D11" s="32">
        <f t="shared" si="2"/>
        <v>66</v>
      </c>
      <c r="E11" s="32">
        <f t="shared" si="2"/>
        <v>185</v>
      </c>
    </row>
    <row r="14">
      <c r="B14" s="2" t="s">
        <v>336</v>
      </c>
    </row>
    <row r="16">
      <c r="B16" s="33" t="s">
        <v>10</v>
      </c>
      <c r="C16" s="33" t="s">
        <v>12</v>
      </c>
      <c r="D16" s="33" t="s">
        <v>13</v>
      </c>
      <c r="E16" s="33" t="s">
        <v>15</v>
      </c>
    </row>
    <row r="17">
      <c r="B17" s="32" t="s">
        <v>44</v>
      </c>
      <c r="C17" s="19">
        <f>COUNTIF('Trading app'!$I$2:$I$120,B17)</f>
        <v>98</v>
      </c>
      <c r="D17" s="19">
        <f>COUNTIF('Lending app'!$I$2:$I$67,B17)</f>
        <v>56</v>
      </c>
      <c r="E17" s="19">
        <f t="shared" ref="E17:E21" si="3">C17+D17</f>
        <v>154</v>
      </c>
    </row>
    <row r="18">
      <c r="B18" s="32" t="s">
        <v>391</v>
      </c>
      <c r="C18" s="19">
        <f>COUNTIF('Trading app'!$I$2:$I$120,B18)</f>
        <v>0</v>
      </c>
      <c r="D18" s="19">
        <f>COUNTIF('Lending app'!$I$2:$I$67,B18)</f>
        <v>0</v>
      </c>
      <c r="E18" s="19">
        <f t="shared" si="3"/>
        <v>0</v>
      </c>
    </row>
    <row r="19">
      <c r="B19" s="32" t="s">
        <v>181</v>
      </c>
      <c r="C19" s="19">
        <f>COUNTIF('Trading app'!$I$2:$I$120,B19)</f>
        <v>21</v>
      </c>
      <c r="D19" s="19">
        <f>COUNTIF('Lending app'!$I$2:$I$67,B19)</f>
        <v>10</v>
      </c>
      <c r="E19" s="19">
        <f t="shared" si="3"/>
        <v>31</v>
      </c>
    </row>
    <row r="20">
      <c r="B20" s="32" t="s">
        <v>477</v>
      </c>
      <c r="C20" s="19">
        <f>COUNTIF('Trading app'!$I$2:$I$120,B20)</f>
        <v>0</v>
      </c>
      <c r="D20" s="19">
        <f>COUNTIF('Lending app'!$I$2:$I$67,B20)</f>
        <v>0</v>
      </c>
      <c r="E20" s="19">
        <f t="shared" si="3"/>
        <v>0</v>
      </c>
    </row>
    <row r="21" ht="15.75" customHeight="1">
      <c r="B21" s="32" t="s">
        <v>538</v>
      </c>
      <c r="C21" s="19">
        <f>COUNTA('Trading app'!$A$2:$A$120)-SUM(C17:C20)</f>
        <v>0</v>
      </c>
      <c r="D21" s="19">
        <f>COUNTA('Lending app'!$A$2:$A$67)-SUM(D17:D20)</f>
        <v>0</v>
      </c>
      <c r="E21" s="19">
        <f t="shared" si="3"/>
        <v>0</v>
      </c>
    </row>
    <row r="22" ht="15.75" customHeight="1"/>
    <row r="23" ht="15.75" customHeight="1"/>
    <row r="24" ht="15.75" customHeight="1">
      <c r="B24" s="2" t="s">
        <v>586</v>
      </c>
    </row>
    <row r="25" ht="15.75" customHeight="1"/>
    <row r="26" ht="15.75" customHeight="1">
      <c r="B26" s="4" t="s">
        <v>588</v>
      </c>
      <c r="C26" s="4" t="s">
        <v>12</v>
      </c>
      <c r="D26" s="4" t="s">
        <v>588</v>
      </c>
      <c r="E26" s="4" t="s">
        <v>13</v>
      </c>
    </row>
    <row r="27" ht="15.75" customHeight="1">
      <c r="B27" s="19" t="s">
        <v>39</v>
      </c>
      <c r="C27" s="19">
        <f>COUNTIFS('Trading app'!$H$2:$H$120,B27,'Trading app'!$I$2:$I$120,"Approve")</f>
        <v>52</v>
      </c>
      <c r="D27" s="19" t="s">
        <v>36</v>
      </c>
      <c r="E27" s="19">
        <f>COUNTIFS('Lending app'!$H$2:$H$67,D27,'Lending app'!$I$2:$I$67,"Approve")</f>
        <v>39</v>
      </c>
    </row>
    <row r="28" ht="15.75" customHeight="1">
      <c r="B28" s="19" t="s">
        <v>82</v>
      </c>
      <c r="C28" s="19">
        <f>COUNTIFS('Trading app'!$H$2:$H$120,B28,'Trading app'!$I$2:$I$120,"Approve")</f>
        <v>27</v>
      </c>
      <c r="D28" s="19" t="s">
        <v>217</v>
      </c>
      <c r="E28" s="19">
        <f>COUNTIFS('Lending app'!$H$2:$H$67,D28,'Lending app'!$I$2:$I$67,"Approve")</f>
        <v>11</v>
      </c>
    </row>
    <row r="29" ht="15.75" customHeight="1">
      <c r="B29" s="19" t="s">
        <v>115</v>
      </c>
      <c r="C29" s="19">
        <f>COUNTIFS('Trading app'!$H$2:$H$120,B29,'Trading app'!$I$2:$I$120,"Approve")</f>
        <v>16</v>
      </c>
      <c r="D29" s="19" t="s">
        <v>187</v>
      </c>
      <c r="E29" s="19">
        <f>COUNTIFS('Lending app'!$H$2:$H$67,D29,'Lending app'!$I$2:$I$67,"Approve")</f>
        <v>4</v>
      </c>
    </row>
    <row r="30" ht="15.75" customHeight="1">
      <c r="B30" s="19" t="s">
        <v>179</v>
      </c>
      <c r="C30" s="19">
        <f>COUNTIFS('Trading app'!$H$2:$H$120,B30,'Trading app'!$I$2:$I$120,"Approve")</f>
        <v>3</v>
      </c>
      <c r="D30" s="19" t="s">
        <v>179</v>
      </c>
      <c r="E30" s="19">
        <f>COUNTIFS('Lending app'!$H$2:$H$67,D30,'Lending app'!$I$2:$I$67,"Approve")</f>
        <v>2</v>
      </c>
    </row>
    <row r="31" ht="15.75" customHeight="1">
      <c r="B31" s="19" t="s">
        <v>289</v>
      </c>
      <c r="C31" s="19">
        <f>COUNTIFS('Trading app'!$H$2:$H$120,B31,'Trading app'!$I$2:$I$120,"Approve")</f>
        <v>0</v>
      </c>
      <c r="D31" s="19" t="s">
        <v>289</v>
      </c>
      <c r="E31" s="19">
        <f>COUNTIFS('Lending app'!$H$2:$H$67,D31,'Lending app'!$I$2:$I$67,"Approve")</f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30.0"/>
    <col customWidth="1" min="4" max="4" width="42.0"/>
    <col customWidth="1" min="5" max="5" width="26.0"/>
    <col customWidth="1" min="6" max="6" width="50.0"/>
    <col customWidth="1" min="7" max="7" width="16.0"/>
    <col customWidth="1" min="8" max="8" width="17.0"/>
    <col customWidth="1" min="9" max="9" width="12.0"/>
    <col customWidth="1" min="10" max="10" width="30.0"/>
    <col customWidth="1" min="11" max="26" width="8.71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5" t="s">
        <v>10</v>
      </c>
      <c r="J1" s="5" t="s">
        <v>14</v>
      </c>
    </row>
    <row r="2">
      <c r="A2" s="7" t="s">
        <v>22</v>
      </c>
      <c r="B2" s="7" t="s">
        <v>24</v>
      </c>
      <c r="C2" s="9" t="s">
        <v>27</v>
      </c>
      <c r="D2" s="7" t="s">
        <v>29</v>
      </c>
      <c r="E2" s="7" t="s">
        <v>31</v>
      </c>
      <c r="F2" s="7" t="s">
        <v>33</v>
      </c>
      <c r="G2" s="12" t="s">
        <v>28</v>
      </c>
      <c r="H2" s="7" t="s">
        <v>39</v>
      </c>
      <c r="I2" s="15" t="s">
        <v>44</v>
      </c>
      <c r="J2" s="16"/>
    </row>
    <row r="3">
      <c r="A3" s="7" t="s">
        <v>45</v>
      </c>
      <c r="B3" s="7" t="s">
        <v>24</v>
      </c>
      <c r="C3" s="9" t="s">
        <v>47</v>
      </c>
      <c r="D3" s="7" t="s">
        <v>49</v>
      </c>
      <c r="E3" s="7" t="s">
        <v>50</v>
      </c>
      <c r="F3" s="7" t="s">
        <v>52</v>
      </c>
      <c r="G3" s="12" t="s">
        <v>28</v>
      </c>
      <c r="H3" s="7" t="s">
        <v>39</v>
      </c>
      <c r="I3" s="15" t="s">
        <v>44</v>
      </c>
      <c r="J3" s="16"/>
    </row>
    <row r="4">
      <c r="A4" s="7" t="s">
        <v>56</v>
      </c>
      <c r="B4" s="7" t="s">
        <v>24</v>
      </c>
      <c r="C4" s="9" t="s">
        <v>59</v>
      </c>
      <c r="D4" s="7" t="s">
        <v>61</v>
      </c>
      <c r="E4" s="7" t="s">
        <v>64</v>
      </c>
      <c r="F4" s="7" t="s">
        <v>66</v>
      </c>
      <c r="G4" s="12" t="s">
        <v>28</v>
      </c>
      <c r="H4" s="7" t="s">
        <v>39</v>
      </c>
      <c r="I4" s="15" t="s">
        <v>44</v>
      </c>
      <c r="J4" s="16"/>
    </row>
    <row r="5">
      <c r="A5" s="7" t="s">
        <v>72</v>
      </c>
      <c r="B5" s="7" t="s">
        <v>24</v>
      </c>
      <c r="C5" s="9" t="s">
        <v>75</v>
      </c>
      <c r="D5" s="7" t="s">
        <v>77</v>
      </c>
      <c r="E5" s="7" t="s">
        <v>78</v>
      </c>
      <c r="F5" s="7" t="s">
        <v>80</v>
      </c>
      <c r="G5" s="22" t="s">
        <v>55</v>
      </c>
      <c r="H5" s="7" t="s">
        <v>82</v>
      </c>
      <c r="I5" s="15" t="s">
        <v>44</v>
      </c>
      <c r="J5" s="16"/>
    </row>
    <row r="6">
      <c r="A6" s="7" t="s">
        <v>86</v>
      </c>
      <c r="B6" s="7" t="s">
        <v>24</v>
      </c>
      <c r="C6" s="9" t="s">
        <v>90</v>
      </c>
      <c r="D6" s="7" t="s">
        <v>92</v>
      </c>
      <c r="E6" s="7" t="s">
        <v>93</v>
      </c>
      <c r="F6" s="7" t="s">
        <v>94</v>
      </c>
      <c r="G6" s="22" t="s">
        <v>55</v>
      </c>
      <c r="H6" s="7" t="s">
        <v>39</v>
      </c>
      <c r="I6" s="15" t="s">
        <v>44</v>
      </c>
      <c r="J6" s="16"/>
    </row>
    <row r="7">
      <c r="A7" s="7" t="s">
        <v>101</v>
      </c>
      <c r="B7" s="7" t="s">
        <v>24</v>
      </c>
      <c r="C7" s="9" t="s">
        <v>106</v>
      </c>
      <c r="D7" s="7" t="s">
        <v>109</v>
      </c>
      <c r="E7" s="7" t="s">
        <v>111</v>
      </c>
      <c r="F7" s="7" t="s">
        <v>113</v>
      </c>
      <c r="G7" s="22" t="s">
        <v>55</v>
      </c>
      <c r="H7" s="7" t="s">
        <v>115</v>
      </c>
      <c r="I7" s="15" t="s">
        <v>44</v>
      </c>
      <c r="J7" s="16"/>
    </row>
    <row r="8">
      <c r="A8" s="7" t="s">
        <v>123</v>
      </c>
      <c r="B8" s="7" t="s">
        <v>24</v>
      </c>
      <c r="C8" s="9" t="s">
        <v>128</v>
      </c>
      <c r="D8" s="7" t="s">
        <v>130</v>
      </c>
      <c r="E8" s="7" t="s">
        <v>132</v>
      </c>
      <c r="F8" s="7" t="s">
        <v>134</v>
      </c>
      <c r="G8" s="21" t="s">
        <v>67</v>
      </c>
      <c r="H8" s="7" t="s">
        <v>39</v>
      </c>
      <c r="I8" s="15" t="s">
        <v>44</v>
      </c>
      <c r="J8" s="16"/>
    </row>
    <row r="9">
      <c r="A9" s="7" t="s">
        <v>145</v>
      </c>
      <c r="B9" s="7" t="s">
        <v>24</v>
      </c>
      <c r="C9" s="9" t="s">
        <v>147</v>
      </c>
      <c r="D9" s="7" t="s">
        <v>149</v>
      </c>
      <c r="E9" s="7" t="s">
        <v>150</v>
      </c>
      <c r="F9" s="7" t="s">
        <v>152</v>
      </c>
      <c r="G9" s="21" t="s">
        <v>67</v>
      </c>
      <c r="H9" s="7" t="s">
        <v>39</v>
      </c>
      <c r="I9" s="15" t="s">
        <v>44</v>
      </c>
      <c r="J9" s="16"/>
    </row>
    <row r="10">
      <c r="A10" s="7" t="s">
        <v>156</v>
      </c>
      <c r="B10" s="7" t="s">
        <v>24</v>
      </c>
      <c r="C10" s="9" t="s">
        <v>159</v>
      </c>
      <c r="D10" s="7" t="s">
        <v>161</v>
      </c>
      <c r="E10" s="7" t="s">
        <v>164</v>
      </c>
      <c r="F10" s="7" t="s">
        <v>166</v>
      </c>
      <c r="G10" s="21" t="s">
        <v>67</v>
      </c>
      <c r="H10" s="7" t="s">
        <v>82</v>
      </c>
      <c r="I10" s="15" t="s">
        <v>44</v>
      </c>
      <c r="J10" s="16"/>
    </row>
    <row r="11">
      <c r="A11" s="7" t="s">
        <v>168</v>
      </c>
      <c r="B11" s="7" t="s">
        <v>24</v>
      </c>
      <c r="C11" s="9" t="s">
        <v>170</v>
      </c>
      <c r="D11" s="7" t="s">
        <v>172</v>
      </c>
      <c r="E11" s="7" t="s">
        <v>173</v>
      </c>
      <c r="F11" s="7" t="s">
        <v>176</v>
      </c>
      <c r="G11" s="26" t="s">
        <v>71</v>
      </c>
      <c r="H11" s="7" t="s">
        <v>179</v>
      </c>
      <c r="I11" s="15" t="s">
        <v>181</v>
      </c>
      <c r="J11" s="16"/>
    </row>
    <row r="12">
      <c r="A12" s="7" t="s">
        <v>185</v>
      </c>
      <c r="B12" s="7" t="s">
        <v>186</v>
      </c>
      <c r="C12" s="9" t="s">
        <v>188</v>
      </c>
      <c r="D12" s="7" t="s">
        <v>189</v>
      </c>
      <c r="E12" s="7" t="s">
        <v>191</v>
      </c>
      <c r="F12" s="7" t="s">
        <v>192</v>
      </c>
      <c r="G12" s="12" t="s">
        <v>28</v>
      </c>
      <c r="H12" s="7" t="s">
        <v>39</v>
      </c>
      <c r="I12" s="15" t="s">
        <v>44</v>
      </c>
      <c r="J12" s="16"/>
    </row>
    <row r="13">
      <c r="A13" s="7" t="s">
        <v>197</v>
      </c>
      <c r="B13" s="7" t="s">
        <v>186</v>
      </c>
      <c r="C13" s="9" t="s">
        <v>199</v>
      </c>
      <c r="D13" s="7" t="s">
        <v>200</v>
      </c>
      <c r="E13" s="7" t="s">
        <v>202</v>
      </c>
      <c r="F13" s="7" t="s">
        <v>205</v>
      </c>
      <c r="G13" s="12" t="s">
        <v>28</v>
      </c>
      <c r="H13" s="7" t="s">
        <v>39</v>
      </c>
      <c r="I13" s="15" t="s">
        <v>44</v>
      </c>
      <c r="J13" s="16"/>
    </row>
    <row r="14">
      <c r="A14" s="7" t="s">
        <v>207</v>
      </c>
      <c r="B14" s="7" t="s">
        <v>186</v>
      </c>
      <c r="C14" s="9" t="s">
        <v>210</v>
      </c>
      <c r="D14" s="7" t="s">
        <v>212</v>
      </c>
      <c r="E14" s="7" t="s">
        <v>214</v>
      </c>
      <c r="F14" s="7" t="s">
        <v>216</v>
      </c>
      <c r="G14" s="12" t="s">
        <v>28</v>
      </c>
      <c r="H14" s="7" t="s">
        <v>39</v>
      </c>
      <c r="I14" s="15" t="s">
        <v>44</v>
      </c>
      <c r="J14" s="16"/>
    </row>
    <row r="15">
      <c r="A15" s="7" t="s">
        <v>223</v>
      </c>
      <c r="B15" s="7" t="s">
        <v>186</v>
      </c>
      <c r="C15" s="9" t="s">
        <v>224</v>
      </c>
      <c r="D15" s="7" t="s">
        <v>225</v>
      </c>
      <c r="E15" s="7" t="s">
        <v>226</v>
      </c>
      <c r="F15" s="7" t="s">
        <v>227</v>
      </c>
      <c r="G15" s="22" t="s">
        <v>55</v>
      </c>
      <c r="H15" s="7" t="s">
        <v>82</v>
      </c>
      <c r="I15" s="15" t="s">
        <v>44</v>
      </c>
      <c r="J15" s="16"/>
    </row>
    <row r="16">
      <c r="A16" s="7" t="s">
        <v>234</v>
      </c>
      <c r="B16" s="7" t="s">
        <v>186</v>
      </c>
      <c r="C16" s="9" t="s">
        <v>235</v>
      </c>
      <c r="D16" s="7" t="s">
        <v>236</v>
      </c>
      <c r="E16" s="7" t="s">
        <v>238</v>
      </c>
      <c r="F16" s="7" t="s">
        <v>239</v>
      </c>
      <c r="G16" s="21" t="s">
        <v>67</v>
      </c>
      <c r="H16" s="7" t="s">
        <v>82</v>
      </c>
      <c r="I16" s="15" t="s">
        <v>44</v>
      </c>
      <c r="J16" s="16"/>
    </row>
    <row r="17">
      <c r="A17" s="7" t="s">
        <v>244</v>
      </c>
      <c r="B17" s="7" t="s">
        <v>186</v>
      </c>
      <c r="C17" s="9" t="s">
        <v>245</v>
      </c>
      <c r="D17" s="7" t="s">
        <v>247</v>
      </c>
      <c r="E17" s="7" t="s">
        <v>248</v>
      </c>
      <c r="F17" s="7" t="s">
        <v>250</v>
      </c>
      <c r="G17" s="21" t="s">
        <v>67</v>
      </c>
      <c r="H17" s="7" t="s">
        <v>82</v>
      </c>
      <c r="I17" s="15" t="s">
        <v>44</v>
      </c>
      <c r="J17" s="16"/>
    </row>
    <row r="18">
      <c r="A18" s="7" t="s">
        <v>254</v>
      </c>
      <c r="B18" s="7" t="s">
        <v>186</v>
      </c>
      <c r="C18" s="9" t="s">
        <v>257</v>
      </c>
      <c r="D18" s="7" t="s">
        <v>259</v>
      </c>
      <c r="E18" s="7" t="s">
        <v>261</v>
      </c>
      <c r="F18" s="7" t="s">
        <v>263</v>
      </c>
      <c r="G18" s="21" t="s">
        <v>67</v>
      </c>
      <c r="H18" s="7" t="s">
        <v>82</v>
      </c>
      <c r="I18" s="15" t="s">
        <v>44</v>
      </c>
      <c r="J18" s="16"/>
    </row>
    <row r="19">
      <c r="A19" s="7" t="s">
        <v>267</v>
      </c>
      <c r="B19" s="7" t="s">
        <v>186</v>
      </c>
      <c r="C19" s="9" t="s">
        <v>270</v>
      </c>
      <c r="D19" s="7" t="s">
        <v>271</v>
      </c>
      <c r="E19" s="7" t="s">
        <v>272</v>
      </c>
      <c r="F19" s="7" t="s">
        <v>273</v>
      </c>
      <c r="G19" s="21" t="s">
        <v>67</v>
      </c>
      <c r="H19" s="7" t="s">
        <v>179</v>
      </c>
      <c r="I19" s="15" t="s">
        <v>44</v>
      </c>
      <c r="J19" s="16"/>
    </row>
    <row r="20">
      <c r="A20" s="7" t="s">
        <v>278</v>
      </c>
      <c r="B20" s="7" t="s">
        <v>186</v>
      </c>
      <c r="C20" s="9" t="s">
        <v>280</v>
      </c>
      <c r="D20" s="7" t="s">
        <v>281</v>
      </c>
      <c r="E20" s="7" t="s">
        <v>282</v>
      </c>
      <c r="F20" s="7" t="s">
        <v>283</v>
      </c>
      <c r="G20" s="30" t="s">
        <v>89</v>
      </c>
      <c r="H20" s="7" t="s">
        <v>289</v>
      </c>
      <c r="I20" s="15" t="s">
        <v>181</v>
      </c>
      <c r="J20" s="16"/>
    </row>
    <row r="21" ht="15.75" customHeight="1">
      <c r="A21" s="7" t="s">
        <v>290</v>
      </c>
      <c r="B21" s="7" t="s">
        <v>291</v>
      </c>
      <c r="C21" s="9" t="s">
        <v>292</v>
      </c>
      <c r="D21" s="7" t="s">
        <v>293</v>
      </c>
      <c r="E21" s="7" t="s">
        <v>294</v>
      </c>
      <c r="F21" s="7" t="s">
        <v>295</v>
      </c>
      <c r="G21" s="12" t="s">
        <v>28</v>
      </c>
      <c r="H21" s="7" t="s">
        <v>39</v>
      </c>
      <c r="I21" s="15" t="s">
        <v>44</v>
      </c>
      <c r="J21" s="16"/>
    </row>
    <row r="22" ht="15.75" customHeight="1">
      <c r="A22" s="7" t="s">
        <v>306</v>
      </c>
      <c r="B22" s="7" t="s">
        <v>291</v>
      </c>
      <c r="C22" s="9" t="s">
        <v>307</v>
      </c>
      <c r="D22" s="7" t="s">
        <v>309</v>
      </c>
      <c r="E22" s="7" t="s">
        <v>311</v>
      </c>
      <c r="F22" s="7" t="s">
        <v>314</v>
      </c>
      <c r="G22" s="12" t="s">
        <v>28</v>
      </c>
      <c r="H22" s="7" t="s">
        <v>39</v>
      </c>
      <c r="I22" s="15" t="s">
        <v>44</v>
      </c>
      <c r="J22" s="16"/>
    </row>
    <row r="23" ht="15.75" customHeight="1">
      <c r="A23" s="7" t="s">
        <v>318</v>
      </c>
      <c r="B23" s="7" t="s">
        <v>291</v>
      </c>
      <c r="C23" s="9" t="s">
        <v>322</v>
      </c>
      <c r="D23" s="7" t="s">
        <v>323</v>
      </c>
      <c r="E23" s="7" t="s">
        <v>324</v>
      </c>
      <c r="F23" s="7" t="s">
        <v>325</v>
      </c>
      <c r="G23" s="12" t="s">
        <v>28</v>
      </c>
      <c r="H23" s="7" t="s">
        <v>39</v>
      </c>
      <c r="I23" s="15" t="s">
        <v>44</v>
      </c>
      <c r="J23" s="16"/>
    </row>
    <row r="24" ht="15.75" customHeight="1">
      <c r="A24" s="7" t="s">
        <v>332</v>
      </c>
      <c r="B24" s="7" t="s">
        <v>291</v>
      </c>
      <c r="C24" s="9" t="s">
        <v>333</v>
      </c>
      <c r="D24" s="7" t="s">
        <v>334</v>
      </c>
      <c r="E24" s="7" t="s">
        <v>335</v>
      </c>
      <c r="F24" s="7" t="s">
        <v>338</v>
      </c>
      <c r="G24" s="22" t="s">
        <v>55</v>
      </c>
      <c r="H24" s="7" t="s">
        <v>39</v>
      </c>
      <c r="I24" s="15" t="s">
        <v>44</v>
      </c>
      <c r="J24" s="16"/>
    </row>
    <row r="25" ht="15.75" customHeight="1">
      <c r="A25" s="7" t="s">
        <v>344</v>
      </c>
      <c r="B25" s="7" t="s">
        <v>291</v>
      </c>
      <c r="C25" s="9" t="s">
        <v>346</v>
      </c>
      <c r="D25" s="7" t="s">
        <v>348</v>
      </c>
      <c r="E25" s="7" t="s">
        <v>351</v>
      </c>
      <c r="F25" s="7" t="s">
        <v>353</v>
      </c>
      <c r="G25" s="22" t="s">
        <v>55</v>
      </c>
      <c r="H25" s="7" t="s">
        <v>115</v>
      </c>
      <c r="I25" s="15" t="s">
        <v>44</v>
      </c>
      <c r="J25" s="16"/>
    </row>
    <row r="26" ht="15.75" customHeight="1">
      <c r="A26" s="7" t="s">
        <v>356</v>
      </c>
      <c r="B26" s="7" t="s">
        <v>291</v>
      </c>
      <c r="C26" s="9" t="s">
        <v>360</v>
      </c>
      <c r="D26" s="7" t="s">
        <v>361</v>
      </c>
      <c r="E26" s="7" t="s">
        <v>294</v>
      </c>
      <c r="F26" s="7" t="s">
        <v>362</v>
      </c>
      <c r="G26" s="21" t="s">
        <v>67</v>
      </c>
      <c r="H26" s="7" t="s">
        <v>39</v>
      </c>
      <c r="I26" s="15" t="s">
        <v>44</v>
      </c>
      <c r="J26" s="16"/>
    </row>
    <row r="27" ht="15.75" customHeight="1">
      <c r="A27" s="7" t="s">
        <v>368</v>
      </c>
      <c r="B27" s="7" t="s">
        <v>291</v>
      </c>
      <c r="C27" s="9" t="s">
        <v>369</v>
      </c>
      <c r="D27" s="7" t="s">
        <v>370</v>
      </c>
      <c r="E27" s="7" t="s">
        <v>372</v>
      </c>
      <c r="F27" s="7" t="s">
        <v>374</v>
      </c>
      <c r="G27" s="21" t="s">
        <v>67</v>
      </c>
      <c r="H27" s="7" t="s">
        <v>82</v>
      </c>
      <c r="I27" s="15" t="s">
        <v>44</v>
      </c>
      <c r="J27" s="16"/>
    </row>
    <row r="28" ht="15.75" customHeight="1">
      <c r="A28" s="7" t="s">
        <v>378</v>
      </c>
      <c r="B28" s="7" t="s">
        <v>291</v>
      </c>
      <c r="C28" s="9" t="s">
        <v>380</v>
      </c>
      <c r="D28" s="7" t="s">
        <v>381</v>
      </c>
      <c r="E28" s="7" t="s">
        <v>384</v>
      </c>
      <c r="F28" s="7" t="s">
        <v>387</v>
      </c>
      <c r="G28" s="21" t="s">
        <v>67</v>
      </c>
      <c r="H28" s="7" t="s">
        <v>82</v>
      </c>
      <c r="I28" s="15" t="s">
        <v>44</v>
      </c>
      <c r="J28" s="16"/>
    </row>
    <row r="29" ht="15.75" customHeight="1">
      <c r="A29" s="7" t="s">
        <v>390</v>
      </c>
      <c r="B29" s="7" t="s">
        <v>291</v>
      </c>
      <c r="C29" s="9" t="s">
        <v>393</v>
      </c>
      <c r="D29" s="7" t="s">
        <v>394</v>
      </c>
      <c r="E29" s="7" t="s">
        <v>397</v>
      </c>
      <c r="F29" s="7" t="s">
        <v>401</v>
      </c>
      <c r="G29" s="21" t="s">
        <v>67</v>
      </c>
      <c r="H29" s="7" t="s">
        <v>82</v>
      </c>
      <c r="I29" s="15" t="s">
        <v>44</v>
      </c>
      <c r="J29" s="16"/>
    </row>
    <row r="30" ht="15.75" customHeight="1">
      <c r="A30" s="7" t="s">
        <v>405</v>
      </c>
      <c r="B30" s="7" t="s">
        <v>291</v>
      </c>
      <c r="C30" s="9" t="s">
        <v>409</v>
      </c>
      <c r="D30" s="7" t="s">
        <v>412</v>
      </c>
      <c r="E30" s="7" t="s">
        <v>413</v>
      </c>
      <c r="F30" s="7" t="s">
        <v>415</v>
      </c>
      <c r="G30" s="21" t="s">
        <v>67</v>
      </c>
      <c r="H30" s="7" t="s">
        <v>115</v>
      </c>
      <c r="I30" s="15" t="s">
        <v>44</v>
      </c>
      <c r="J30" s="16"/>
    </row>
    <row r="31" ht="15.75" customHeight="1">
      <c r="A31" s="7" t="s">
        <v>423</v>
      </c>
      <c r="B31" s="7" t="s">
        <v>291</v>
      </c>
      <c r="C31" s="9" t="s">
        <v>426</v>
      </c>
      <c r="D31" s="7" t="s">
        <v>427</v>
      </c>
      <c r="E31" s="7" t="s">
        <v>429</v>
      </c>
      <c r="F31" s="7" t="s">
        <v>431</v>
      </c>
      <c r="G31" s="21" t="s">
        <v>67</v>
      </c>
      <c r="H31" s="7" t="s">
        <v>115</v>
      </c>
      <c r="I31" s="15" t="s">
        <v>44</v>
      </c>
      <c r="J31" s="16"/>
    </row>
    <row r="32" ht="15.75" customHeight="1">
      <c r="A32" s="7" t="s">
        <v>440</v>
      </c>
      <c r="B32" s="7" t="s">
        <v>291</v>
      </c>
      <c r="C32" s="9" t="s">
        <v>442</v>
      </c>
      <c r="D32" s="7" t="s">
        <v>445</v>
      </c>
      <c r="E32" s="7" t="s">
        <v>448</v>
      </c>
      <c r="F32" s="7" t="s">
        <v>450</v>
      </c>
      <c r="G32" s="26" t="s">
        <v>71</v>
      </c>
      <c r="H32" s="7" t="s">
        <v>115</v>
      </c>
      <c r="I32" s="15" t="s">
        <v>44</v>
      </c>
      <c r="J32" s="16"/>
    </row>
    <row r="33" ht="15.75" customHeight="1">
      <c r="A33" s="7" t="s">
        <v>456</v>
      </c>
      <c r="B33" s="7" t="s">
        <v>291</v>
      </c>
      <c r="C33" s="9" t="s">
        <v>459</v>
      </c>
      <c r="D33" s="7" t="s">
        <v>463</v>
      </c>
      <c r="E33" s="7" t="s">
        <v>466</v>
      </c>
      <c r="F33" s="7" t="s">
        <v>468</v>
      </c>
      <c r="G33" s="26" t="s">
        <v>71</v>
      </c>
      <c r="H33" s="7" t="s">
        <v>179</v>
      </c>
      <c r="I33" s="15" t="s">
        <v>181</v>
      </c>
      <c r="J33" s="16"/>
    </row>
    <row r="34" ht="15.75" customHeight="1">
      <c r="A34" s="7" t="s">
        <v>476</v>
      </c>
      <c r="B34" s="7" t="s">
        <v>291</v>
      </c>
      <c r="C34" s="9" t="s">
        <v>481</v>
      </c>
      <c r="D34" s="7" t="s">
        <v>483</v>
      </c>
      <c r="E34" s="7" t="s">
        <v>485</v>
      </c>
      <c r="F34" s="7" t="s">
        <v>486</v>
      </c>
      <c r="G34" s="34" t="s">
        <v>81</v>
      </c>
      <c r="H34" s="7" t="s">
        <v>289</v>
      </c>
      <c r="I34" s="15" t="s">
        <v>181</v>
      </c>
      <c r="J34" s="16"/>
    </row>
    <row r="35" ht="15.75" customHeight="1">
      <c r="A35" s="7" t="s">
        <v>505</v>
      </c>
      <c r="B35" s="7" t="s">
        <v>291</v>
      </c>
      <c r="C35" s="9" t="s">
        <v>508</v>
      </c>
      <c r="D35" s="7" t="s">
        <v>511</v>
      </c>
      <c r="E35" s="7" t="s">
        <v>513</v>
      </c>
      <c r="F35" s="7" t="s">
        <v>515</v>
      </c>
      <c r="G35" s="34" t="s">
        <v>81</v>
      </c>
      <c r="H35" s="7" t="s">
        <v>289</v>
      </c>
      <c r="I35" s="15" t="s">
        <v>181</v>
      </c>
      <c r="J35" s="16"/>
    </row>
    <row r="36" ht="15.75" customHeight="1">
      <c r="A36" s="7" t="s">
        <v>525</v>
      </c>
      <c r="B36" s="7" t="s">
        <v>291</v>
      </c>
      <c r="C36" s="9" t="s">
        <v>530</v>
      </c>
      <c r="D36" s="7" t="s">
        <v>533</v>
      </c>
      <c r="E36" s="7" t="s">
        <v>536</v>
      </c>
      <c r="F36" s="7" t="s">
        <v>539</v>
      </c>
      <c r="G36" s="30" t="s">
        <v>89</v>
      </c>
      <c r="H36" s="7" t="s">
        <v>289</v>
      </c>
      <c r="I36" s="15" t="s">
        <v>181</v>
      </c>
      <c r="J36" s="16"/>
    </row>
    <row r="37" ht="15.75" customHeight="1">
      <c r="A37" s="7" t="s">
        <v>543</v>
      </c>
      <c r="B37" s="7" t="s">
        <v>291</v>
      </c>
      <c r="C37" s="9" t="s">
        <v>546</v>
      </c>
      <c r="D37" s="7" t="s">
        <v>547</v>
      </c>
      <c r="E37" s="7" t="s">
        <v>548</v>
      </c>
      <c r="F37" s="7" t="s">
        <v>549</v>
      </c>
      <c r="G37" s="30" t="s">
        <v>89</v>
      </c>
      <c r="H37" s="7" t="s">
        <v>289</v>
      </c>
      <c r="I37" s="15" t="s">
        <v>181</v>
      </c>
      <c r="J37" s="16"/>
    </row>
    <row r="38" ht="15.75" customHeight="1">
      <c r="A38" s="7" t="s">
        <v>555</v>
      </c>
      <c r="B38" s="7" t="s">
        <v>556</v>
      </c>
      <c r="C38" s="9" t="s">
        <v>558</v>
      </c>
      <c r="D38" s="7" t="s">
        <v>561</v>
      </c>
      <c r="E38" s="7" t="s">
        <v>563</v>
      </c>
      <c r="F38" s="7" t="s">
        <v>566</v>
      </c>
      <c r="G38" s="12" t="s">
        <v>28</v>
      </c>
      <c r="H38" s="7" t="s">
        <v>39</v>
      </c>
      <c r="I38" s="15" t="s">
        <v>44</v>
      </c>
      <c r="J38" s="16"/>
    </row>
    <row r="39" ht="15.75" customHeight="1">
      <c r="A39" s="7" t="s">
        <v>567</v>
      </c>
      <c r="B39" s="7" t="s">
        <v>556</v>
      </c>
      <c r="C39" s="9" t="s">
        <v>568</v>
      </c>
      <c r="D39" s="7" t="s">
        <v>569</v>
      </c>
      <c r="E39" s="7" t="s">
        <v>570</v>
      </c>
      <c r="F39" s="7" t="s">
        <v>573</v>
      </c>
      <c r="G39" s="12" t="s">
        <v>28</v>
      </c>
      <c r="H39" s="7" t="s">
        <v>39</v>
      </c>
      <c r="I39" s="15" t="s">
        <v>44</v>
      </c>
      <c r="J39" s="16"/>
    </row>
    <row r="40" ht="15.75" customHeight="1">
      <c r="A40" s="7" t="s">
        <v>577</v>
      </c>
      <c r="B40" s="7" t="s">
        <v>556</v>
      </c>
      <c r="C40" s="9" t="s">
        <v>579</v>
      </c>
      <c r="D40" s="7" t="s">
        <v>582</v>
      </c>
      <c r="E40" s="7" t="s">
        <v>584</v>
      </c>
      <c r="F40" s="7" t="s">
        <v>587</v>
      </c>
      <c r="G40" s="12" t="s">
        <v>28</v>
      </c>
      <c r="H40" s="7" t="s">
        <v>39</v>
      </c>
      <c r="I40" s="15" t="s">
        <v>44</v>
      </c>
      <c r="J40" s="16"/>
    </row>
    <row r="41" ht="15.75" customHeight="1">
      <c r="A41" s="7" t="s">
        <v>590</v>
      </c>
      <c r="B41" s="7" t="s">
        <v>556</v>
      </c>
      <c r="C41" s="9" t="s">
        <v>593</v>
      </c>
      <c r="D41" s="7" t="s">
        <v>595</v>
      </c>
      <c r="E41" s="7" t="s">
        <v>570</v>
      </c>
      <c r="F41" s="7" t="s">
        <v>597</v>
      </c>
      <c r="G41" s="12" t="s">
        <v>28</v>
      </c>
      <c r="H41" s="7" t="s">
        <v>39</v>
      </c>
      <c r="I41" s="15" t="s">
        <v>44</v>
      </c>
      <c r="J41" s="16"/>
    </row>
    <row r="42" ht="15.75" customHeight="1">
      <c r="A42" s="7" t="s">
        <v>602</v>
      </c>
      <c r="B42" s="7" t="s">
        <v>556</v>
      </c>
      <c r="C42" s="9" t="s">
        <v>603</v>
      </c>
      <c r="D42" s="7" t="s">
        <v>605</v>
      </c>
      <c r="E42" s="7" t="s">
        <v>607</v>
      </c>
      <c r="F42" s="7" t="s">
        <v>609</v>
      </c>
      <c r="G42" s="12" t="s">
        <v>28</v>
      </c>
      <c r="H42" s="7" t="s">
        <v>39</v>
      </c>
      <c r="I42" s="15" t="s">
        <v>44</v>
      </c>
      <c r="J42" s="16"/>
    </row>
    <row r="43" ht="15.75" customHeight="1">
      <c r="A43" s="7" t="s">
        <v>614</v>
      </c>
      <c r="B43" s="7" t="s">
        <v>556</v>
      </c>
      <c r="C43" s="9" t="s">
        <v>618</v>
      </c>
      <c r="D43" s="7" t="s">
        <v>619</v>
      </c>
      <c r="E43" s="7" t="s">
        <v>620</v>
      </c>
      <c r="F43" s="7" t="s">
        <v>621</v>
      </c>
      <c r="G43" s="22" t="s">
        <v>55</v>
      </c>
      <c r="H43" s="7" t="s">
        <v>39</v>
      </c>
      <c r="I43" s="15" t="s">
        <v>44</v>
      </c>
      <c r="J43" s="16"/>
    </row>
    <row r="44" ht="15.75" customHeight="1">
      <c r="A44" s="7" t="s">
        <v>626</v>
      </c>
      <c r="B44" s="7" t="s">
        <v>556</v>
      </c>
      <c r="C44" s="9" t="s">
        <v>627</v>
      </c>
      <c r="D44" s="7" t="s">
        <v>628</v>
      </c>
      <c r="E44" s="7" t="s">
        <v>620</v>
      </c>
      <c r="F44" s="7" t="s">
        <v>629</v>
      </c>
      <c r="G44" s="21" t="s">
        <v>67</v>
      </c>
      <c r="H44" s="7" t="s">
        <v>39</v>
      </c>
      <c r="I44" s="15" t="s">
        <v>44</v>
      </c>
      <c r="J44" s="16"/>
    </row>
    <row r="45" ht="15.75" customHeight="1">
      <c r="A45" s="7" t="s">
        <v>635</v>
      </c>
      <c r="B45" s="7" t="s">
        <v>556</v>
      </c>
      <c r="C45" s="9" t="s">
        <v>636</v>
      </c>
      <c r="D45" s="7" t="s">
        <v>637</v>
      </c>
      <c r="E45" s="7" t="s">
        <v>638</v>
      </c>
      <c r="F45" s="7" t="s">
        <v>639</v>
      </c>
      <c r="G45" s="21" t="s">
        <v>67</v>
      </c>
      <c r="H45" s="7" t="s">
        <v>39</v>
      </c>
      <c r="I45" s="15" t="s">
        <v>44</v>
      </c>
      <c r="J45" s="16"/>
    </row>
    <row r="46" ht="15.75" customHeight="1">
      <c r="A46" s="7" t="s">
        <v>643</v>
      </c>
      <c r="B46" s="7" t="s">
        <v>556</v>
      </c>
      <c r="C46" s="9" t="s">
        <v>645</v>
      </c>
      <c r="D46" s="7" t="s">
        <v>646</v>
      </c>
      <c r="E46" s="7" t="s">
        <v>570</v>
      </c>
      <c r="F46" s="7" t="s">
        <v>647</v>
      </c>
      <c r="G46" s="21" t="s">
        <v>67</v>
      </c>
      <c r="H46" s="7" t="s">
        <v>82</v>
      </c>
      <c r="I46" s="15" t="s">
        <v>44</v>
      </c>
      <c r="J46" s="16"/>
    </row>
    <row r="47" ht="15.75" customHeight="1">
      <c r="A47" s="7" t="s">
        <v>650</v>
      </c>
      <c r="B47" s="7" t="s">
        <v>556</v>
      </c>
      <c r="C47" s="9" t="s">
        <v>654</v>
      </c>
      <c r="D47" s="7" t="s">
        <v>655</v>
      </c>
      <c r="E47" s="7" t="s">
        <v>620</v>
      </c>
      <c r="F47" s="7" t="s">
        <v>656</v>
      </c>
      <c r="G47" s="26" t="s">
        <v>71</v>
      </c>
      <c r="H47" s="7" t="s">
        <v>115</v>
      </c>
      <c r="I47" s="15" t="s">
        <v>44</v>
      </c>
      <c r="J47" s="16"/>
    </row>
    <row r="48" ht="15.75" customHeight="1">
      <c r="A48" s="7" t="s">
        <v>660</v>
      </c>
      <c r="B48" s="7" t="s">
        <v>556</v>
      </c>
      <c r="C48" s="9" t="s">
        <v>663</v>
      </c>
      <c r="D48" s="7" t="s">
        <v>665</v>
      </c>
      <c r="E48" s="7" t="s">
        <v>536</v>
      </c>
      <c r="F48" s="7" t="s">
        <v>666</v>
      </c>
      <c r="G48" s="34" t="s">
        <v>81</v>
      </c>
      <c r="H48" s="7" t="s">
        <v>289</v>
      </c>
      <c r="I48" s="15" t="s">
        <v>181</v>
      </c>
      <c r="J48" s="16"/>
    </row>
    <row r="49" ht="15.75" customHeight="1">
      <c r="A49" s="7" t="s">
        <v>671</v>
      </c>
      <c r="B49" s="7" t="s">
        <v>556</v>
      </c>
      <c r="C49" s="9" t="s">
        <v>673</v>
      </c>
      <c r="D49" s="7" t="s">
        <v>674</v>
      </c>
      <c r="E49" s="7" t="s">
        <v>675</v>
      </c>
      <c r="F49" s="7" t="s">
        <v>676</v>
      </c>
      <c r="G49" s="34" t="s">
        <v>81</v>
      </c>
      <c r="H49" s="7" t="s">
        <v>289</v>
      </c>
      <c r="I49" s="15" t="s">
        <v>181</v>
      </c>
      <c r="J49" s="16"/>
    </row>
    <row r="50" ht="15.75" customHeight="1">
      <c r="A50" s="7" t="s">
        <v>680</v>
      </c>
      <c r="B50" s="7" t="s">
        <v>556</v>
      </c>
      <c r="C50" s="9" t="s">
        <v>683</v>
      </c>
      <c r="D50" s="7" t="s">
        <v>684</v>
      </c>
      <c r="E50" s="7" t="s">
        <v>685</v>
      </c>
      <c r="F50" s="7" t="s">
        <v>686</v>
      </c>
      <c r="G50" s="34" t="s">
        <v>81</v>
      </c>
      <c r="H50" s="7" t="s">
        <v>289</v>
      </c>
      <c r="I50" s="15" t="s">
        <v>181</v>
      </c>
      <c r="J50" s="16"/>
    </row>
    <row r="51" ht="15.75" customHeight="1">
      <c r="A51" s="7" t="s">
        <v>689</v>
      </c>
      <c r="B51" s="7" t="s">
        <v>556</v>
      </c>
      <c r="C51" s="9" t="s">
        <v>691</v>
      </c>
      <c r="D51" s="7" t="s">
        <v>693</v>
      </c>
      <c r="E51" s="7" t="s">
        <v>694</v>
      </c>
      <c r="F51" s="7" t="s">
        <v>695</v>
      </c>
      <c r="G51" s="30" t="s">
        <v>89</v>
      </c>
      <c r="H51" s="7" t="s">
        <v>289</v>
      </c>
      <c r="I51" s="15" t="s">
        <v>181</v>
      </c>
      <c r="J51" s="16"/>
    </row>
    <row r="52" ht="15.75" customHeight="1">
      <c r="A52" s="7" t="s">
        <v>697</v>
      </c>
      <c r="B52" s="7" t="s">
        <v>699</v>
      </c>
      <c r="C52" s="9" t="s">
        <v>701</v>
      </c>
      <c r="D52" s="7" t="s">
        <v>703</v>
      </c>
      <c r="E52" s="7" t="s">
        <v>705</v>
      </c>
      <c r="F52" s="7" t="s">
        <v>706</v>
      </c>
      <c r="G52" s="12" t="s">
        <v>28</v>
      </c>
      <c r="H52" s="7" t="s">
        <v>39</v>
      </c>
      <c r="I52" s="15" t="s">
        <v>44</v>
      </c>
      <c r="J52" s="16"/>
    </row>
    <row r="53" ht="15.75" customHeight="1">
      <c r="A53" s="7" t="s">
        <v>707</v>
      </c>
      <c r="B53" s="7" t="s">
        <v>699</v>
      </c>
      <c r="C53" s="9" t="s">
        <v>709</v>
      </c>
      <c r="D53" s="7" t="s">
        <v>711</v>
      </c>
      <c r="E53" s="7" t="s">
        <v>713</v>
      </c>
      <c r="F53" s="7" t="s">
        <v>715</v>
      </c>
      <c r="G53" s="21" t="s">
        <v>67</v>
      </c>
      <c r="H53" s="7" t="s">
        <v>82</v>
      </c>
      <c r="I53" s="15" t="s">
        <v>44</v>
      </c>
      <c r="J53" s="16"/>
    </row>
    <row r="54" ht="15.75" customHeight="1">
      <c r="A54" s="7" t="s">
        <v>718</v>
      </c>
      <c r="B54" s="7" t="s">
        <v>699</v>
      </c>
      <c r="C54" s="9" t="s">
        <v>721</v>
      </c>
      <c r="D54" s="7" t="s">
        <v>723</v>
      </c>
      <c r="E54" s="7" t="s">
        <v>448</v>
      </c>
      <c r="F54" s="7" t="s">
        <v>725</v>
      </c>
      <c r="G54" s="21" t="s">
        <v>67</v>
      </c>
      <c r="H54" s="7" t="s">
        <v>82</v>
      </c>
      <c r="I54" s="15" t="s">
        <v>44</v>
      </c>
      <c r="J54" s="16"/>
    </row>
    <row r="55" ht="15.75" customHeight="1">
      <c r="A55" s="7" t="s">
        <v>730</v>
      </c>
      <c r="B55" s="7" t="s">
        <v>699</v>
      </c>
      <c r="C55" s="9" t="s">
        <v>732</v>
      </c>
      <c r="D55" s="7" t="s">
        <v>733</v>
      </c>
      <c r="E55" s="7" t="s">
        <v>734</v>
      </c>
      <c r="F55" s="7" t="s">
        <v>735</v>
      </c>
      <c r="G55" s="21" t="s">
        <v>67</v>
      </c>
      <c r="H55" s="7" t="s">
        <v>82</v>
      </c>
      <c r="I55" s="15" t="s">
        <v>44</v>
      </c>
      <c r="J55" s="16"/>
    </row>
    <row r="56" ht="15.75" customHeight="1">
      <c r="A56" s="7" t="s">
        <v>741</v>
      </c>
      <c r="B56" s="7" t="s">
        <v>699</v>
      </c>
      <c r="C56" s="9" t="s">
        <v>742</v>
      </c>
      <c r="D56" s="7" t="s">
        <v>743</v>
      </c>
      <c r="E56" s="7" t="s">
        <v>744</v>
      </c>
      <c r="F56" s="7" t="s">
        <v>745</v>
      </c>
      <c r="G56" s="21" t="s">
        <v>67</v>
      </c>
      <c r="H56" s="7" t="s">
        <v>82</v>
      </c>
      <c r="I56" s="15" t="s">
        <v>44</v>
      </c>
      <c r="J56" s="16"/>
    </row>
    <row r="57" ht="15.75" customHeight="1">
      <c r="A57" s="7" t="s">
        <v>746</v>
      </c>
      <c r="B57" s="7" t="s">
        <v>699</v>
      </c>
      <c r="C57" s="9" t="s">
        <v>747</v>
      </c>
      <c r="D57" s="7" t="s">
        <v>748</v>
      </c>
      <c r="E57" s="7" t="s">
        <v>749</v>
      </c>
      <c r="F57" s="7" t="s">
        <v>750</v>
      </c>
      <c r="G57" s="26" t="s">
        <v>71</v>
      </c>
      <c r="H57" s="7" t="s">
        <v>115</v>
      </c>
      <c r="I57" s="15" t="s">
        <v>181</v>
      </c>
      <c r="J57" s="16"/>
    </row>
    <row r="58" ht="15.75" customHeight="1">
      <c r="A58" s="7" t="s">
        <v>751</v>
      </c>
      <c r="B58" s="7" t="s">
        <v>699</v>
      </c>
      <c r="C58" s="9" t="s">
        <v>752</v>
      </c>
      <c r="D58" s="7" t="s">
        <v>753</v>
      </c>
      <c r="E58" s="7" t="s">
        <v>754</v>
      </c>
      <c r="F58" s="7" t="s">
        <v>755</v>
      </c>
      <c r="G58" s="26" t="s">
        <v>71</v>
      </c>
      <c r="H58" s="7" t="s">
        <v>115</v>
      </c>
      <c r="I58" s="15" t="s">
        <v>181</v>
      </c>
      <c r="J58" s="16"/>
    </row>
    <row r="59" ht="15.75" customHeight="1">
      <c r="A59" s="7" t="s">
        <v>756</v>
      </c>
      <c r="B59" s="7" t="s">
        <v>699</v>
      </c>
      <c r="C59" s="9" t="s">
        <v>757</v>
      </c>
      <c r="D59" s="7" t="s">
        <v>758</v>
      </c>
      <c r="E59" s="7" t="s">
        <v>759</v>
      </c>
      <c r="F59" s="7" t="s">
        <v>760</v>
      </c>
      <c r="G59" s="26" t="s">
        <v>71</v>
      </c>
      <c r="H59" s="7" t="s">
        <v>179</v>
      </c>
      <c r="I59" s="15" t="s">
        <v>181</v>
      </c>
      <c r="J59" s="16"/>
    </row>
    <row r="60" ht="15.75" customHeight="1">
      <c r="A60" s="7" t="s">
        <v>761</v>
      </c>
      <c r="B60" s="7" t="s">
        <v>699</v>
      </c>
      <c r="C60" s="9" t="s">
        <v>762</v>
      </c>
      <c r="D60" s="7" t="s">
        <v>763</v>
      </c>
      <c r="E60" s="7" t="s">
        <v>764</v>
      </c>
      <c r="F60" s="7" t="s">
        <v>765</v>
      </c>
      <c r="G60" s="34" t="s">
        <v>81</v>
      </c>
      <c r="H60" s="7" t="s">
        <v>179</v>
      </c>
      <c r="I60" s="15" t="s">
        <v>181</v>
      </c>
      <c r="J60" s="16"/>
    </row>
    <row r="61" ht="15.75" customHeight="1">
      <c r="A61" s="7" t="s">
        <v>766</v>
      </c>
      <c r="B61" s="7" t="s">
        <v>767</v>
      </c>
      <c r="C61" s="9" t="s">
        <v>768</v>
      </c>
      <c r="D61" s="7" t="s">
        <v>769</v>
      </c>
      <c r="E61" s="7" t="s">
        <v>770</v>
      </c>
      <c r="F61" s="7" t="s">
        <v>771</v>
      </c>
      <c r="G61" s="12" t="s">
        <v>28</v>
      </c>
      <c r="H61" s="7" t="s">
        <v>39</v>
      </c>
      <c r="I61" s="15" t="s">
        <v>44</v>
      </c>
      <c r="J61" s="16"/>
    </row>
    <row r="62" ht="15.75" customHeight="1">
      <c r="A62" s="7" t="s">
        <v>772</v>
      </c>
      <c r="B62" s="7" t="s">
        <v>767</v>
      </c>
      <c r="C62" s="9" t="s">
        <v>773</v>
      </c>
      <c r="D62" s="7" t="s">
        <v>774</v>
      </c>
      <c r="E62" s="7" t="s">
        <v>775</v>
      </c>
      <c r="F62" s="7" t="s">
        <v>776</v>
      </c>
      <c r="G62" s="21" t="s">
        <v>67</v>
      </c>
      <c r="H62" s="7" t="s">
        <v>82</v>
      </c>
      <c r="I62" s="15" t="s">
        <v>44</v>
      </c>
      <c r="J62" s="16"/>
    </row>
    <row r="63" ht="15.75" customHeight="1">
      <c r="A63" s="7" t="s">
        <v>777</v>
      </c>
      <c r="B63" s="7" t="s">
        <v>767</v>
      </c>
      <c r="C63" s="9" t="s">
        <v>779</v>
      </c>
      <c r="D63" s="7" t="s">
        <v>780</v>
      </c>
      <c r="E63" s="7" t="s">
        <v>781</v>
      </c>
      <c r="F63" s="7" t="s">
        <v>783</v>
      </c>
      <c r="G63" s="21" t="s">
        <v>67</v>
      </c>
      <c r="H63" s="7" t="s">
        <v>82</v>
      </c>
      <c r="I63" s="15" t="s">
        <v>44</v>
      </c>
      <c r="J63" s="16"/>
    </row>
    <row r="64" ht="15.75" customHeight="1">
      <c r="A64" s="7" t="s">
        <v>786</v>
      </c>
      <c r="B64" s="7" t="s">
        <v>767</v>
      </c>
      <c r="C64" s="9" t="s">
        <v>788</v>
      </c>
      <c r="D64" s="7" t="s">
        <v>789</v>
      </c>
      <c r="E64" s="7" t="s">
        <v>791</v>
      </c>
      <c r="F64" s="7" t="s">
        <v>792</v>
      </c>
      <c r="G64" s="26" t="s">
        <v>71</v>
      </c>
      <c r="H64" s="7" t="s">
        <v>179</v>
      </c>
      <c r="I64" s="15" t="s">
        <v>181</v>
      </c>
      <c r="J64" s="16"/>
    </row>
    <row r="65" ht="15.75" customHeight="1">
      <c r="A65" s="7" t="s">
        <v>793</v>
      </c>
      <c r="B65" s="7" t="s">
        <v>794</v>
      </c>
      <c r="C65" s="9" t="s">
        <v>795</v>
      </c>
      <c r="D65" s="7" t="s">
        <v>796</v>
      </c>
      <c r="E65" s="7" t="s">
        <v>797</v>
      </c>
      <c r="F65" s="7" t="s">
        <v>798</v>
      </c>
      <c r="G65" s="12" t="s">
        <v>28</v>
      </c>
      <c r="H65" s="7" t="s">
        <v>115</v>
      </c>
      <c r="I65" s="15" t="s">
        <v>44</v>
      </c>
      <c r="J65" s="16"/>
    </row>
    <row r="66" ht="15.75" customHeight="1">
      <c r="A66" s="7" t="s">
        <v>799</v>
      </c>
      <c r="B66" s="7" t="s">
        <v>794</v>
      </c>
      <c r="C66" s="9" t="s">
        <v>800</v>
      </c>
      <c r="D66" s="7" t="s">
        <v>801</v>
      </c>
      <c r="E66" s="7" t="s">
        <v>802</v>
      </c>
      <c r="F66" s="7" t="s">
        <v>803</v>
      </c>
      <c r="G66" s="21" t="s">
        <v>67</v>
      </c>
      <c r="H66" s="7" t="s">
        <v>115</v>
      </c>
      <c r="I66" s="15" t="s">
        <v>44</v>
      </c>
      <c r="J66" s="16"/>
    </row>
    <row r="67" ht="15.75" customHeight="1">
      <c r="A67" s="7" t="s">
        <v>804</v>
      </c>
      <c r="B67" s="7" t="s">
        <v>805</v>
      </c>
      <c r="C67" s="9" t="s">
        <v>806</v>
      </c>
      <c r="D67" s="7" t="s">
        <v>807</v>
      </c>
      <c r="E67" s="7" t="s">
        <v>570</v>
      </c>
      <c r="F67" s="7" t="s">
        <v>808</v>
      </c>
      <c r="G67" s="12" t="s">
        <v>28</v>
      </c>
      <c r="H67" s="7" t="s">
        <v>39</v>
      </c>
      <c r="I67" s="15" t="s">
        <v>44</v>
      </c>
      <c r="J67" s="16"/>
    </row>
    <row r="68" ht="15.75" customHeight="1">
      <c r="A68" s="7" t="s">
        <v>809</v>
      </c>
      <c r="B68" s="7" t="s">
        <v>805</v>
      </c>
      <c r="C68" s="9" t="s">
        <v>810</v>
      </c>
      <c r="D68" s="7" t="s">
        <v>811</v>
      </c>
      <c r="E68" s="7" t="s">
        <v>812</v>
      </c>
      <c r="F68" s="7" t="s">
        <v>813</v>
      </c>
      <c r="G68" s="22" t="s">
        <v>55</v>
      </c>
      <c r="H68" s="7" t="s">
        <v>39</v>
      </c>
      <c r="I68" s="15" t="s">
        <v>44</v>
      </c>
      <c r="J68" s="16"/>
    </row>
    <row r="69" ht="15.75" customHeight="1">
      <c r="A69" s="7" t="s">
        <v>814</v>
      </c>
      <c r="B69" s="7" t="s">
        <v>805</v>
      </c>
      <c r="C69" s="9" t="s">
        <v>815</v>
      </c>
      <c r="D69" s="7" t="s">
        <v>817</v>
      </c>
      <c r="E69" s="7" t="s">
        <v>818</v>
      </c>
      <c r="F69" s="7" t="s">
        <v>820</v>
      </c>
      <c r="G69" s="22" t="s">
        <v>55</v>
      </c>
      <c r="H69" s="7" t="s">
        <v>39</v>
      </c>
      <c r="I69" s="15" t="s">
        <v>44</v>
      </c>
      <c r="J69" s="16"/>
    </row>
    <row r="70" ht="15.75" customHeight="1">
      <c r="A70" s="7" t="s">
        <v>822</v>
      </c>
      <c r="B70" s="7" t="s">
        <v>805</v>
      </c>
      <c r="C70" s="9" t="s">
        <v>823</v>
      </c>
      <c r="D70" s="7" t="s">
        <v>824</v>
      </c>
      <c r="E70" s="7" t="s">
        <v>818</v>
      </c>
      <c r="F70" s="7" t="s">
        <v>825</v>
      </c>
      <c r="G70" s="22" t="s">
        <v>55</v>
      </c>
      <c r="H70" s="7" t="s">
        <v>39</v>
      </c>
      <c r="I70" s="15" t="s">
        <v>44</v>
      </c>
      <c r="J70" s="16"/>
    </row>
    <row r="71" ht="15.75" customHeight="1">
      <c r="A71" s="7" t="s">
        <v>826</v>
      </c>
      <c r="B71" s="7" t="s">
        <v>805</v>
      </c>
      <c r="C71" s="9" t="s">
        <v>827</v>
      </c>
      <c r="D71" s="7" t="s">
        <v>828</v>
      </c>
      <c r="E71" s="7" t="s">
        <v>829</v>
      </c>
      <c r="F71" s="7" t="s">
        <v>830</v>
      </c>
      <c r="G71" s="22" t="s">
        <v>55</v>
      </c>
      <c r="H71" s="7" t="s">
        <v>82</v>
      </c>
      <c r="I71" s="15" t="s">
        <v>44</v>
      </c>
      <c r="J71" s="16"/>
    </row>
    <row r="72" ht="15.75" customHeight="1">
      <c r="A72" s="7" t="s">
        <v>831</v>
      </c>
      <c r="B72" s="7" t="s">
        <v>805</v>
      </c>
      <c r="C72" s="9" t="s">
        <v>834</v>
      </c>
      <c r="D72" s="7" t="s">
        <v>835</v>
      </c>
      <c r="E72" s="7" t="s">
        <v>837</v>
      </c>
      <c r="F72" s="7" t="s">
        <v>838</v>
      </c>
      <c r="G72" s="21" t="s">
        <v>67</v>
      </c>
      <c r="H72" s="7" t="s">
        <v>82</v>
      </c>
      <c r="I72" s="15" t="s">
        <v>44</v>
      </c>
      <c r="J72" s="16"/>
    </row>
    <row r="73" ht="15.75" customHeight="1">
      <c r="A73" s="7" t="s">
        <v>839</v>
      </c>
      <c r="B73" s="7" t="s">
        <v>805</v>
      </c>
      <c r="C73" s="9" t="s">
        <v>840</v>
      </c>
      <c r="D73" s="7" t="s">
        <v>841</v>
      </c>
      <c r="E73" s="7" t="s">
        <v>842</v>
      </c>
      <c r="F73" s="7" t="s">
        <v>843</v>
      </c>
      <c r="G73" s="21" t="s">
        <v>67</v>
      </c>
      <c r="H73" s="7" t="s">
        <v>115</v>
      </c>
      <c r="I73" s="15" t="s">
        <v>44</v>
      </c>
      <c r="J73" s="16"/>
    </row>
    <row r="74" ht="15.75" customHeight="1">
      <c r="A74" s="7" t="s">
        <v>844</v>
      </c>
      <c r="B74" s="7" t="s">
        <v>805</v>
      </c>
      <c r="C74" s="9" t="s">
        <v>845</v>
      </c>
      <c r="D74" s="7" t="s">
        <v>846</v>
      </c>
      <c r="E74" s="7" t="s">
        <v>847</v>
      </c>
      <c r="F74" s="7" t="s">
        <v>849</v>
      </c>
      <c r="G74" s="21" t="s">
        <v>67</v>
      </c>
      <c r="H74" s="7" t="s">
        <v>179</v>
      </c>
      <c r="I74" s="15" t="s">
        <v>44</v>
      </c>
      <c r="J74" s="16"/>
    </row>
    <row r="75" ht="15.75" customHeight="1">
      <c r="A75" s="7" t="s">
        <v>852</v>
      </c>
      <c r="B75" s="7" t="s">
        <v>853</v>
      </c>
      <c r="C75" s="9" t="s">
        <v>854</v>
      </c>
      <c r="D75" s="7" t="s">
        <v>855</v>
      </c>
      <c r="E75" s="7" t="s">
        <v>856</v>
      </c>
      <c r="F75" s="7" t="s">
        <v>857</v>
      </c>
      <c r="G75" s="12" t="s">
        <v>28</v>
      </c>
      <c r="H75" s="7" t="s">
        <v>39</v>
      </c>
      <c r="I75" s="15" t="s">
        <v>44</v>
      </c>
      <c r="J75" s="16"/>
    </row>
    <row r="76" ht="15.75" customHeight="1">
      <c r="A76" s="7" t="s">
        <v>858</v>
      </c>
      <c r="B76" s="7" t="s">
        <v>853</v>
      </c>
      <c r="C76" s="9" t="s">
        <v>859</v>
      </c>
      <c r="D76" s="7" t="s">
        <v>860</v>
      </c>
      <c r="E76" s="7" t="s">
        <v>861</v>
      </c>
      <c r="F76" s="7" t="s">
        <v>862</v>
      </c>
      <c r="G76" s="22" t="s">
        <v>55</v>
      </c>
      <c r="H76" s="7" t="s">
        <v>82</v>
      </c>
      <c r="I76" s="15" t="s">
        <v>44</v>
      </c>
      <c r="J76" s="16"/>
    </row>
    <row r="77" ht="15.75" customHeight="1">
      <c r="A77" s="7" t="s">
        <v>865</v>
      </c>
      <c r="B77" s="7" t="s">
        <v>853</v>
      </c>
      <c r="C77" s="9" t="s">
        <v>867</v>
      </c>
      <c r="D77" s="7" t="s">
        <v>868</v>
      </c>
      <c r="E77" s="7" t="s">
        <v>869</v>
      </c>
      <c r="F77" s="7" t="s">
        <v>870</v>
      </c>
      <c r="G77" s="22" t="s">
        <v>55</v>
      </c>
      <c r="H77" s="7" t="s">
        <v>115</v>
      </c>
      <c r="I77" s="15" t="s">
        <v>44</v>
      </c>
      <c r="J77" s="16"/>
    </row>
    <row r="78" ht="15.75" customHeight="1">
      <c r="A78" s="7" t="s">
        <v>871</v>
      </c>
      <c r="B78" s="7" t="s">
        <v>853</v>
      </c>
      <c r="C78" s="9" t="s">
        <v>872</v>
      </c>
      <c r="D78" s="7" t="s">
        <v>873</v>
      </c>
      <c r="E78" s="7" t="s">
        <v>620</v>
      </c>
      <c r="F78" s="7" t="s">
        <v>874</v>
      </c>
      <c r="G78" s="21" t="s">
        <v>67</v>
      </c>
      <c r="H78" s="7" t="s">
        <v>39</v>
      </c>
      <c r="I78" s="15" t="s">
        <v>44</v>
      </c>
      <c r="J78" s="16"/>
    </row>
    <row r="79" ht="15.75" customHeight="1">
      <c r="A79" s="7" t="s">
        <v>875</v>
      </c>
      <c r="B79" s="7" t="s">
        <v>853</v>
      </c>
      <c r="C79" s="9" t="s">
        <v>876</v>
      </c>
      <c r="D79" s="7" t="s">
        <v>877</v>
      </c>
      <c r="E79" s="7" t="s">
        <v>878</v>
      </c>
      <c r="F79" s="7" t="s">
        <v>879</v>
      </c>
      <c r="G79" s="21" t="s">
        <v>67</v>
      </c>
      <c r="H79" s="7" t="s">
        <v>115</v>
      </c>
      <c r="I79" s="15" t="s">
        <v>44</v>
      </c>
      <c r="J79" s="16"/>
    </row>
    <row r="80" ht="15.75" customHeight="1">
      <c r="A80" s="7" t="s">
        <v>883</v>
      </c>
      <c r="B80" s="7" t="s">
        <v>853</v>
      </c>
      <c r="C80" s="9" t="s">
        <v>884</v>
      </c>
      <c r="D80" s="7" t="s">
        <v>885</v>
      </c>
      <c r="E80" s="7" t="s">
        <v>448</v>
      </c>
      <c r="F80" s="7" t="s">
        <v>886</v>
      </c>
      <c r="G80" s="26" t="s">
        <v>71</v>
      </c>
      <c r="H80" s="7" t="s">
        <v>115</v>
      </c>
      <c r="I80" s="15" t="s">
        <v>44</v>
      </c>
      <c r="J80" s="16"/>
    </row>
    <row r="81" ht="15.75" customHeight="1">
      <c r="A81" s="7" t="s">
        <v>887</v>
      </c>
      <c r="B81" s="7" t="s">
        <v>853</v>
      </c>
      <c r="C81" s="9" t="s">
        <v>888</v>
      </c>
      <c r="D81" s="7" t="s">
        <v>889</v>
      </c>
      <c r="E81" s="7" t="s">
        <v>890</v>
      </c>
      <c r="F81" s="7" t="s">
        <v>891</v>
      </c>
      <c r="G81" s="30" t="s">
        <v>89</v>
      </c>
      <c r="H81" s="7" t="s">
        <v>289</v>
      </c>
      <c r="I81" s="15" t="s">
        <v>181</v>
      </c>
      <c r="J81" s="16"/>
    </row>
    <row r="82" ht="15.75" customHeight="1">
      <c r="A82" s="7" t="s">
        <v>893</v>
      </c>
      <c r="B82" s="7" t="s">
        <v>894</v>
      </c>
      <c r="C82" s="9" t="s">
        <v>895</v>
      </c>
      <c r="D82" s="7" t="s">
        <v>897</v>
      </c>
      <c r="E82" s="7" t="s">
        <v>856</v>
      </c>
      <c r="F82" s="7" t="s">
        <v>899</v>
      </c>
      <c r="G82" s="12" t="s">
        <v>28</v>
      </c>
      <c r="H82" s="7" t="s">
        <v>39</v>
      </c>
      <c r="I82" s="15" t="s">
        <v>44</v>
      </c>
      <c r="J82" s="16"/>
    </row>
    <row r="83" ht="15.75" customHeight="1">
      <c r="A83" s="7" t="s">
        <v>900</v>
      </c>
      <c r="B83" s="7" t="s">
        <v>894</v>
      </c>
      <c r="C83" s="9" t="s">
        <v>901</v>
      </c>
      <c r="D83" s="7" t="s">
        <v>902</v>
      </c>
      <c r="E83" s="7" t="s">
        <v>324</v>
      </c>
      <c r="F83" s="7" t="s">
        <v>903</v>
      </c>
      <c r="G83" s="21" t="s">
        <v>67</v>
      </c>
      <c r="H83" s="7" t="s">
        <v>82</v>
      </c>
      <c r="I83" s="15" t="s">
        <v>44</v>
      </c>
      <c r="J83" s="16"/>
    </row>
    <row r="84" ht="15.75" customHeight="1">
      <c r="A84" s="7" t="s">
        <v>904</v>
      </c>
      <c r="B84" s="7" t="s">
        <v>894</v>
      </c>
      <c r="C84" s="9" t="s">
        <v>905</v>
      </c>
      <c r="D84" s="7" t="s">
        <v>906</v>
      </c>
      <c r="E84" s="7" t="s">
        <v>907</v>
      </c>
      <c r="F84" s="7" t="s">
        <v>908</v>
      </c>
      <c r="G84" s="21" t="s">
        <v>67</v>
      </c>
      <c r="H84" s="7" t="s">
        <v>82</v>
      </c>
      <c r="I84" s="15" t="s">
        <v>44</v>
      </c>
      <c r="J84" s="16"/>
    </row>
    <row r="85" ht="15.75" customHeight="1">
      <c r="A85" s="7" t="s">
        <v>909</v>
      </c>
      <c r="B85" s="7" t="s">
        <v>894</v>
      </c>
      <c r="C85" s="9" t="s">
        <v>910</v>
      </c>
      <c r="D85" s="7" t="s">
        <v>911</v>
      </c>
      <c r="E85" s="7" t="s">
        <v>912</v>
      </c>
      <c r="F85" s="7" t="s">
        <v>913</v>
      </c>
      <c r="G85" s="21" t="s">
        <v>67</v>
      </c>
      <c r="H85" s="7" t="s">
        <v>82</v>
      </c>
      <c r="I85" s="15" t="s">
        <v>44</v>
      </c>
      <c r="J85" s="16"/>
    </row>
    <row r="86" ht="15.75" customHeight="1">
      <c r="A86" s="7" t="s">
        <v>917</v>
      </c>
      <c r="B86" s="7" t="s">
        <v>918</v>
      </c>
      <c r="C86" s="9" t="s">
        <v>919</v>
      </c>
      <c r="D86" s="7" t="s">
        <v>920</v>
      </c>
      <c r="E86" s="7" t="s">
        <v>921</v>
      </c>
      <c r="F86" s="7" t="s">
        <v>922</v>
      </c>
      <c r="G86" s="12" t="s">
        <v>28</v>
      </c>
      <c r="H86" s="7" t="s">
        <v>39</v>
      </c>
      <c r="I86" s="15" t="s">
        <v>44</v>
      </c>
      <c r="J86" s="16"/>
    </row>
    <row r="87" ht="15.75" customHeight="1">
      <c r="A87" s="7" t="s">
        <v>923</v>
      </c>
      <c r="B87" s="7" t="s">
        <v>918</v>
      </c>
      <c r="C87" s="9" t="s">
        <v>924</v>
      </c>
      <c r="D87" s="7" t="s">
        <v>925</v>
      </c>
      <c r="E87" s="7" t="s">
        <v>926</v>
      </c>
      <c r="F87" s="7" t="s">
        <v>927</v>
      </c>
      <c r="G87" s="22" t="s">
        <v>55</v>
      </c>
      <c r="H87" s="7" t="s">
        <v>39</v>
      </c>
      <c r="I87" s="15" t="s">
        <v>44</v>
      </c>
      <c r="J87" s="16"/>
    </row>
    <row r="88" ht="15.75" customHeight="1">
      <c r="A88" s="7" t="s">
        <v>928</v>
      </c>
      <c r="B88" s="7" t="s">
        <v>918</v>
      </c>
      <c r="C88" s="9" t="s">
        <v>929</v>
      </c>
      <c r="D88" s="7" t="s">
        <v>930</v>
      </c>
      <c r="E88" s="7" t="s">
        <v>931</v>
      </c>
      <c r="F88" s="7" t="s">
        <v>932</v>
      </c>
      <c r="G88" s="21" t="s">
        <v>67</v>
      </c>
      <c r="H88" s="7" t="s">
        <v>39</v>
      </c>
      <c r="I88" s="15" t="s">
        <v>44</v>
      </c>
      <c r="J88" s="16"/>
    </row>
    <row r="89" ht="15.75" customHeight="1">
      <c r="A89" s="7" t="s">
        <v>933</v>
      </c>
      <c r="B89" s="7" t="s">
        <v>918</v>
      </c>
      <c r="C89" s="9" t="s">
        <v>934</v>
      </c>
      <c r="D89" s="7" t="s">
        <v>935</v>
      </c>
      <c r="E89" s="7" t="s">
        <v>937</v>
      </c>
      <c r="F89" s="7" t="s">
        <v>938</v>
      </c>
      <c r="G89" s="21" t="s">
        <v>67</v>
      </c>
      <c r="H89" s="7" t="s">
        <v>82</v>
      </c>
      <c r="I89" s="15" t="s">
        <v>44</v>
      </c>
      <c r="J89" s="16"/>
    </row>
    <row r="90" ht="15.75" customHeight="1">
      <c r="A90" s="7" t="s">
        <v>941</v>
      </c>
      <c r="B90" s="7" t="s">
        <v>918</v>
      </c>
      <c r="C90" s="9" t="s">
        <v>942</v>
      </c>
      <c r="D90" s="7" t="s">
        <v>943</v>
      </c>
      <c r="E90" s="7" t="s">
        <v>944</v>
      </c>
      <c r="F90" s="7" t="s">
        <v>945</v>
      </c>
      <c r="G90" s="26" t="s">
        <v>71</v>
      </c>
      <c r="H90" s="7" t="s">
        <v>179</v>
      </c>
      <c r="I90" s="15" t="s">
        <v>44</v>
      </c>
      <c r="J90" s="16"/>
    </row>
    <row r="91" ht="15.75" customHeight="1">
      <c r="A91" s="7" t="s">
        <v>946</v>
      </c>
      <c r="B91" s="7" t="s">
        <v>918</v>
      </c>
      <c r="C91" s="9" t="s">
        <v>947</v>
      </c>
      <c r="D91" s="7" t="s">
        <v>948</v>
      </c>
      <c r="E91" s="7" t="s">
        <v>949</v>
      </c>
      <c r="F91" s="7" t="s">
        <v>950</v>
      </c>
      <c r="G91" s="26" t="s">
        <v>71</v>
      </c>
      <c r="H91" s="7" t="s">
        <v>179</v>
      </c>
      <c r="I91" s="15" t="s">
        <v>181</v>
      </c>
      <c r="J91" s="16"/>
    </row>
    <row r="92" ht="15.75" customHeight="1">
      <c r="A92" s="7" t="s">
        <v>951</v>
      </c>
      <c r="B92" s="7" t="s">
        <v>952</v>
      </c>
      <c r="C92" s="9" t="s">
        <v>954</v>
      </c>
      <c r="D92" s="7" t="s">
        <v>956</v>
      </c>
      <c r="E92" s="7" t="s">
        <v>856</v>
      </c>
      <c r="F92" s="7" t="s">
        <v>958</v>
      </c>
      <c r="G92" s="12" t="s">
        <v>28</v>
      </c>
      <c r="H92" s="7" t="s">
        <v>39</v>
      </c>
      <c r="I92" s="15" t="s">
        <v>44</v>
      </c>
      <c r="J92" s="16"/>
    </row>
    <row r="93" ht="15.75" customHeight="1">
      <c r="A93" s="7" t="s">
        <v>959</v>
      </c>
      <c r="B93" s="7" t="s">
        <v>952</v>
      </c>
      <c r="C93" s="9" t="s">
        <v>960</v>
      </c>
      <c r="D93" s="7" t="s">
        <v>961</v>
      </c>
      <c r="E93" s="7" t="s">
        <v>962</v>
      </c>
      <c r="F93" s="7" t="s">
        <v>963</v>
      </c>
      <c r="G93" s="12" t="s">
        <v>28</v>
      </c>
      <c r="H93" s="7" t="s">
        <v>39</v>
      </c>
      <c r="I93" s="15" t="s">
        <v>44</v>
      </c>
      <c r="J93" s="16"/>
    </row>
    <row r="94" ht="15.75" customHeight="1">
      <c r="A94" s="7" t="s">
        <v>964</v>
      </c>
      <c r="B94" s="7" t="s">
        <v>952</v>
      </c>
      <c r="C94" s="9" t="s">
        <v>965</v>
      </c>
      <c r="D94" s="7" t="s">
        <v>966</v>
      </c>
      <c r="E94" s="7" t="s">
        <v>570</v>
      </c>
      <c r="F94" s="7" t="s">
        <v>967</v>
      </c>
      <c r="G94" s="12" t="s">
        <v>28</v>
      </c>
      <c r="H94" s="7" t="s">
        <v>39</v>
      </c>
      <c r="I94" s="15" t="s">
        <v>44</v>
      </c>
      <c r="J94" s="16"/>
    </row>
    <row r="95" ht="15.75" customHeight="1">
      <c r="A95" s="7" t="s">
        <v>969</v>
      </c>
      <c r="B95" s="7" t="s">
        <v>952</v>
      </c>
      <c r="C95" s="9" t="s">
        <v>971</v>
      </c>
      <c r="D95" s="7" t="s">
        <v>972</v>
      </c>
      <c r="E95" s="7" t="s">
        <v>974</v>
      </c>
      <c r="F95" s="7" t="s">
        <v>975</v>
      </c>
      <c r="G95" s="21" t="s">
        <v>67</v>
      </c>
      <c r="H95" s="7" t="s">
        <v>39</v>
      </c>
      <c r="I95" s="15" t="s">
        <v>44</v>
      </c>
      <c r="J95" s="16"/>
    </row>
    <row r="96" ht="15.75" customHeight="1">
      <c r="A96" s="7" t="s">
        <v>976</v>
      </c>
      <c r="B96" s="7" t="s">
        <v>952</v>
      </c>
      <c r="C96" s="9" t="s">
        <v>977</v>
      </c>
      <c r="D96" s="7" t="s">
        <v>978</v>
      </c>
      <c r="E96" s="7" t="s">
        <v>979</v>
      </c>
      <c r="F96" s="7" t="s">
        <v>980</v>
      </c>
      <c r="G96" s="26" t="s">
        <v>71</v>
      </c>
      <c r="H96" s="7" t="s">
        <v>82</v>
      </c>
      <c r="I96" s="15" t="s">
        <v>44</v>
      </c>
      <c r="J96" s="16"/>
    </row>
    <row r="97" ht="15.75" customHeight="1">
      <c r="A97" s="7" t="s">
        <v>983</v>
      </c>
      <c r="B97" s="7" t="s">
        <v>984</v>
      </c>
      <c r="C97" s="9" t="s">
        <v>986</v>
      </c>
      <c r="D97" s="7" t="s">
        <v>987</v>
      </c>
      <c r="E97" s="7" t="s">
        <v>988</v>
      </c>
      <c r="F97" s="7" t="s">
        <v>989</v>
      </c>
      <c r="G97" s="12" t="s">
        <v>28</v>
      </c>
      <c r="H97" s="7" t="s">
        <v>39</v>
      </c>
      <c r="I97" s="15" t="s">
        <v>44</v>
      </c>
      <c r="J97" s="16"/>
    </row>
    <row r="98" ht="15.75" customHeight="1">
      <c r="A98" s="7" t="s">
        <v>990</v>
      </c>
      <c r="B98" s="7" t="s">
        <v>984</v>
      </c>
      <c r="C98" s="9" t="s">
        <v>991</v>
      </c>
      <c r="D98" s="7" t="s">
        <v>992</v>
      </c>
      <c r="E98" s="7" t="s">
        <v>993</v>
      </c>
      <c r="F98" s="7" t="s">
        <v>994</v>
      </c>
      <c r="G98" s="12" t="s">
        <v>28</v>
      </c>
      <c r="H98" s="7" t="s">
        <v>39</v>
      </c>
      <c r="I98" s="15" t="s">
        <v>44</v>
      </c>
      <c r="J98" s="16"/>
    </row>
    <row r="99" ht="15.75" customHeight="1">
      <c r="A99" s="7" t="s">
        <v>995</v>
      </c>
      <c r="B99" s="7" t="s">
        <v>984</v>
      </c>
      <c r="C99" s="9" t="s">
        <v>996</v>
      </c>
      <c r="D99" s="7" t="s">
        <v>997</v>
      </c>
      <c r="E99" s="7" t="s">
        <v>856</v>
      </c>
      <c r="F99" s="7" t="s">
        <v>998</v>
      </c>
      <c r="G99" s="21" t="s">
        <v>67</v>
      </c>
      <c r="H99" s="7" t="s">
        <v>39</v>
      </c>
      <c r="I99" s="15" t="s">
        <v>44</v>
      </c>
      <c r="J99" s="16"/>
    </row>
    <row r="100" ht="15.75" customHeight="1">
      <c r="A100" s="7" t="s">
        <v>1002</v>
      </c>
      <c r="B100" s="7" t="s">
        <v>1003</v>
      </c>
      <c r="C100" s="9" t="s">
        <v>1004</v>
      </c>
      <c r="D100" s="7" t="s">
        <v>1005</v>
      </c>
      <c r="E100" s="7" t="s">
        <v>570</v>
      </c>
      <c r="F100" s="7" t="s">
        <v>1006</v>
      </c>
      <c r="G100" s="12" t="s">
        <v>28</v>
      </c>
      <c r="H100" s="7" t="s">
        <v>39</v>
      </c>
      <c r="I100" s="15" t="s">
        <v>44</v>
      </c>
      <c r="J100" s="16"/>
    </row>
    <row r="101" ht="15.75" customHeight="1">
      <c r="A101" s="7" t="s">
        <v>1007</v>
      </c>
      <c r="B101" s="7" t="s">
        <v>1003</v>
      </c>
      <c r="C101" s="9" t="s">
        <v>1008</v>
      </c>
      <c r="D101" s="7" t="s">
        <v>1009</v>
      </c>
      <c r="E101" s="7" t="s">
        <v>1010</v>
      </c>
      <c r="F101" s="7" t="s">
        <v>1011</v>
      </c>
      <c r="G101" s="21" t="s">
        <v>67</v>
      </c>
      <c r="H101" s="7" t="s">
        <v>115</v>
      </c>
      <c r="I101" s="15" t="s">
        <v>44</v>
      </c>
      <c r="J101" s="16"/>
    </row>
    <row r="102" ht="15.75" customHeight="1">
      <c r="A102" s="7" t="s">
        <v>1015</v>
      </c>
      <c r="B102" s="7" t="s">
        <v>1003</v>
      </c>
      <c r="C102" s="9" t="s">
        <v>1016</v>
      </c>
      <c r="D102" s="7" t="s">
        <v>1017</v>
      </c>
      <c r="E102" s="7" t="s">
        <v>570</v>
      </c>
      <c r="F102" s="7" t="s">
        <v>1018</v>
      </c>
      <c r="G102" s="26" t="s">
        <v>71</v>
      </c>
      <c r="H102" s="7" t="s">
        <v>115</v>
      </c>
      <c r="I102" s="15" t="s">
        <v>44</v>
      </c>
      <c r="J102" s="16"/>
    </row>
    <row r="103" ht="15.75" customHeight="1">
      <c r="A103" s="7" t="s">
        <v>1019</v>
      </c>
      <c r="B103" s="7" t="s">
        <v>1020</v>
      </c>
      <c r="C103" s="9" t="s">
        <v>1021</v>
      </c>
      <c r="D103" s="7" t="s">
        <v>1022</v>
      </c>
      <c r="E103" s="7" t="s">
        <v>1023</v>
      </c>
      <c r="F103" s="7" t="s">
        <v>1024</v>
      </c>
      <c r="G103" s="21" t="s">
        <v>67</v>
      </c>
      <c r="H103" s="7" t="s">
        <v>82</v>
      </c>
      <c r="I103" s="15" t="s">
        <v>44</v>
      </c>
      <c r="J103" s="16"/>
    </row>
    <row r="104" ht="15.75" customHeight="1">
      <c r="A104" s="7" t="s">
        <v>1025</v>
      </c>
      <c r="B104" s="7" t="s">
        <v>1020</v>
      </c>
      <c r="C104" s="9" t="s">
        <v>1026</v>
      </c>
      <c r="D104" s="7" t="s">
        <v>1027</v>
      </c>
      <c r="E104" s="7" t="s">
        <v>1028</v>
      </c>
      <c r="F104" s="7" t="s">
        <v>1029</v>
      </c>
      <c r="G104" s="26" t="s">
        <v>71</v>
      </c>
      <c r="H104" s="7" t="s">
        <v>115</v>
      </c>
      <c r="I104" s="15" t="s">
        <v>44</v>
      </c>
      <c r="J104" s="16"/>
    </row>
    <row r="105" ht="15.75" customHeight="1">
      <c r="A105" s="7" t="s">
        <v>1033</v>
      </c>
      <c r="B105" s="7" t="s">
        <v>1020</v>
      </c>
      <c r="C105" s="9" t="s">
        <v>1034</v>
      </c>
      <c r="D105" s="7" t="s">
        <v>1035</v>
      </c>
      <c r="E105" s="7" t="s">
        <v>1036</v>
      </c>
      <c r="F105" s="7" t="s">
        <v>1037</v>
      </c>
      <c r="G105" s="34" t="s">
        <v>81</v>
      </c>
      <c r="H105" s="7" t="s">
        <v>179</v>
      </c>
      <c r="I105" s="15" t="s">
        <v>181</v>
      </c>
      <c r="J105" s="16"/>
    </row>
    <row r="106" ht="15.75" customHeight="1">
      <c r="A106" s="7" t="s">
        <v>1038</v>
      </c>
      <c r="B106" s="7" t="s">
        <v>1020</v>
      </c>
      <c r="C106" s="9" t="s">
        <v>1039</v>
      </c>
      <c r="D106" s="7" t="s">
        <v>1040</v>
      </c>
      <c r="E106" s="7" t="s">
        <v>553</v>
      </c>
      <c r="F106" s="7" t="s">
        <v>1041</v>
      </c>
      <c r="G106" s="30" t="s">
        <v>89</v>
      </c>
      <c r="H106" s="7" t="s">
        <v>289</v>
      </c>
      <c r="I106" s="15" t="s">
        <v>181</v>
      </c>
      <c r="J106" s="16"/>
    </row>
    <row r="107" ht="15.75" customHeight="1">
      <c r="A107" s="7" t="s">
        <v>1042</v>
      </c>
      <c r="B107" s="7" t="s">
        <v>1043</v>
      </c>
      <c r="C107" s="9" t="s">
        <v>1045</v>
      </c>
      <c r="D107" s="7" t="s">
        <v>1047</v>
      </c>
      <c r="E107" s="7" t="s">
        <v>1049</v>
      </c>
      <c r="F107" s="7" t="s">
        <v>1050</v>
      </c>
      <c r="G107" s="22" t="s">
        <v>55</v>
      </c>
      <c r="H107" s="7" t="s">
        <v>115</v>
      </c>
      <c r="I107" s="15" t="s">
        <v>44</v>
      </c>
      <c r="J107" s="16"/>
    </row>
    <row r="108" ht="15.75" customHeight="1">
      <c r="A108" s="7" t="s">
        <v>1051</v>
      </c>
      <c r="B108" s="7" t="s">
        <v>1043</v>
      </c>
      <c r="C108" s="9" t="s">
        <v>1052</v>
      </c>
      <c r="D108" s="7" t="s">
        <v>1053</v>
      </c>
      <c r="E108" s="7" t="s">
        <v>1054</v>
      </c>
      <c r="F108" s="7" t="s">
        <v>1055</v>
      </c>
      <c r="G108" s="21" t="s">
        <v>67</v>
      </c>
      <c r="H108" s="7" t="s">
        <v>39</v>
      </c>
      <c r="I108" s="15" t="s">
        <v>44</v>
      </c>
      <c r="J108" s="16"/>
    </row>
    <row r="109" ht="15.75" customHeight="1">
      <c r="A109" s="7" t="s">
        <v>1056</v>
      </c>
      <c r="B109" s="7" t="s">
        <v>1043</v>
      </c>
      <c r="C109" s="9" t="s">
        <v>1057</v>
      </c>
      <c r="D109" s="7" t="s">
        <v>1058</v>
      </c>
      <c r="E109" s="7" t="s">
        <v>448</v>
      </c>
      <c r="F109" s="7" t="s">
        <v>1059</v>
      </c>
      <c r="G109" s="21" t="s">
        <v>67</v>
      </c>
      <c r="H109" s="7" t="s">
        <v>82</v>
      </c>
      <c r="I109" s="15" t="s">
        <v>44</v>
      </c>
      <c r="J109" s="16"/>
    </row>
    <row r="110" ht="15.75" customHeight="1">
      <c r="A110" s="7" t="s">
        <v>1060</v>
      </c>
      <c r="B110" s="7" t="s">
        <v>1043</v>
      </c>
      <c r="C110" s="9" t="s">
        <v>1061</v>
      </c>
      <c r="D110" s="7" t="s">
        <v>1062</v>
      </c>
      <c r="E110" s="7" t="s">
        <v>1063</v>
      </c>
      <c r="F110" s="7" t="s">
        <v>1064</v>
      </c>
      <c r="G110" s="21" t="s">
        <v>67</v>
      </c>
      <c r="H110" s="7" t="s">
        <v>39</v>
      </c>
      <c r="I110" s="15" t="s">
        <v>44</v>
      </c>
      <c r="J110" s="16"/>
    </row>
    <row r="111" ht="15.75" customHeight="1">
      <c r="A111" s="7" t="s">
        <v>1068</v>
      </c>
      <c r="B111" s="7" t="s">
        <v>1043</v>
      </c>
      <c r="C111" s="9" t="s">
        <v>1069</v>
      </c>
      <c r="D111" s="7" t="s">
        <v>1070</v>
      </c>
      <c r="E111" s="7" t="s">
        <v>1071</v>
      </c>
      <c r="F111" s="7" t="s">
        <v>1072</v>
      </c>
      <c r="G111" s="26" t="s">
        <v>71</v>
      </c>
      <c r="H111" s="7" t="s">
        <v>82</v>
      </c>
      <c r="I111" s="15" t="s">
        <v>44</v>
      </c>
      <c r="J111" s="16"/>
    </row>
    <row r="112" ht="15.75" customHeight="1">
      <c r="A112" s="7" t="s">
        <v>1073</v>
      </c>
      <c r="B112" s="7" t="s">
        <v>1043</v>
      </c>
      <c r="C112" s="9" t="s">
        <v>1074</v>
      </c>
      <c r="D112" s="7" t="s">
        <v>1075</v>
      </c>
      <c r="E112" s="7" t="s">
        <v>1076</v>
      </c>
      <c r="F112" s="7" t="s">
        <v>1077</v>
      </c>
      <c r="G112" s="34" t="s">
        <v>81</v>
      </c>
      <c r="H112" s="7" t="s">
        <v>179</v>
      </c>
      <c r="I112" s="15" t="s">
        <v>181</v>
      </c>
      <c r="J112" s="16"/>
    </row>
    <row r="113" ht="15.75" customHeight="1">
      <c r="A113" s="7" t="s">
        <v>1078</v>
      </c>
      <c r="B113" s="7" t="s">
        <v>1079</v>
      </c>
      <c r="C113" s="9" t="s">
        <v>1080</v>
      </c>
      <c r="D113" s="7" t="s">
        <v>1081</v>
      </c>
      <c r="E113" s="7" t="s">
        <v>1082</v>
      </c>
      <c r="F113" s="7" t="s">
        <v>1084</v>
      </c>
      <c r="G113" s="12" t="s">
        <v>28</v>
      </c>
      <c r="H113" s="7" t="s">
        <v>39</v>
      </c>
      <c r="I113" s="15" t="s">
        <v>44</v>
      </c>
      <c r="J113" s="16"/>
    </row>
    <row r="114" ht="15.75" customHeight="1">
      <c r="A114" s="7" t="s">
        <v>1087</v>
      </c>
      <c r="B114" s="7" t="s">
        <v>1079</v>
      </c>
      <c r="C114" s="9" t="s">
        <v>1088</v>
      </c>
      <c r="D114" s="7" t="s">
        <v>1089</v>
      </c>
      <c r="E114" s="7" t="s">
        <v>607</v>
      </c>
      <c r="F114" s="7" t="s">
        <v>1090</v>
      </c>
      <c r="G114" s="12" t="s">
        <v>28</v>
      </c>
      <c r="H114" s="7" t="s">
        <v>39</v>
      </c>
      <c r="I114" s="15" t="s">
        <v>44</v>
      </c>
      <c r="J114" s="16"/>
    </row>
    <row r="115" ht="15.75" customHeight="1">
      <c r="A115" s="7" t="s">
        <v>1091</v>
      </c>
      <c r="B115" s="7" t="s">
        <v>1079</v>
      </c>
      <c r="C115" s="9" t="s">
        <v>1092</v>
      </c>
      <c r="D115" s="7" t="s">
        <v>1093</v>
      </c>
      <c r="E115" s="7" t="s">
        <v>607</v>
      </c>
      <c r="F115" s="7" t="s">
        <v>1094</v>
      </c>
      <c r="G115" s="12" t="s">
        <v>28</v>
      </c>
      <c r="H115" s="7" t="s">
        <v>39</v>
      </c>
      <c r="I115" s="15" t="s">
        <v>44</v>
      </c>
      <c r="J115" s="16"/>
    </row>
    <row r="116" ht="15.75" customHeight="1">
      <c r="A116" s="7" t="s">
        <v>1097</v>
      </c>
      <c r="B116" s="7" t="s">
        <v>1079</v>
      </c>
      <c r="C116" s="9" t="s">
        <v>1099</v>
      </c>
      <c r="D116" s="7" t="s">
        <v>1100</v>
      </c>
      <c r="E116" s="7" t="s">
        <v>1101</v>
      </c>
      <c r="F116" s="7" t="s">
        <v>1102</v>
      </c>
      <c r="G116" s="12" t="s">
        <v>28</v>
      </c>
      <c r="H116" s="7" t="s">
        <v>39</v>
      </c>
      <c r="I116" s="15" t="s">
        <v>44</v>
      </c>
      <c r="J116" s="16"/>
    </row>
    <row r="117" ht="15.75" customHeight="1">
      <c r="A117" s="7" t="s">
        <v>1103</v>
      </c>
      <c r="B117" s="7" t="s">
        <v>1079</v>
      </c>
      <c r="C117" s="9" t="s">
        <v>1104</v>
      </c>
      <c r="D117" s="7" t="s">
        <v>1105</v>
      </c>
      <c r="E117" s="7" t="s">
        <v>607</v>
      </c>
      <c r="F117" s="7" t="s">
        <v>1106</v>
      </c>
      <c r="G117" s="12" t="s">
        <v>28</v>
      </c>
      <c r="H117" s="7" t="s">
        <v>39</v>
      </c>
      <c r="I117" s="15" t="s">
        <v>44</v>
      </c>
      <c r="J117" s="16"/>
    </row>
    <row r="118" ht="15.75" customHeight="1">
      <c r="A118" s="7" t="s">
        <v>1107</v>
      </c>
      <c r="B118" s="7" t="s">
        <v>1079</v>
      </c>
      <c r="C118" s="9" t="s">
        <v>1108</v>
      </c>
      <c r="D118" s="7" t="s">
        <v>1109</v>
      </c>
      <c r="E118" s="7" t="s">
        <v>856</v>
      </c>
      <c r="F118" s="7" t="s">
        <v>1111</v>
      </c>
      <c r="G118" s="12" t="s">
        <v>28</v>
      </c>
      <c r="H118" s="7" t="s">
        <v>39</v>
      </c>
      <c r="I118" s="15" t="s">
        <v>44</v>
      </c>
      <c r="J118" s="16"/>
    </row>
    <row r="119" ht="15.75" customHeight="1">
      <c r="A119" s="7" t="s">
        <v>1114</v>
      </c>
      <c r="B119" s="7" t="s">
        <v>1079</v>
      </c>
      <c r="C119" s="9" t="s">
        <v>1115</v>
      </c>
      <c r="D119" s="7" t="s">
        <v>1116</v>
      </c>
      <c r="E119" s="7" t="s">
        <v>1117</v>
      </c>
      <c r="F119" s="7" t="s">
        <v>1118</v>
      </c>
      <c r="G119" s="21" t="s">
        <v>67</v>
      </c>
      <c r="H119" s="7" t="s">
        <v>39</v>
      </c>
      <c r="I119" s="15" t="s">
        <v>44</v>
      </c>
      <c r="J119" s="16"/>
    </row>
    <row r="120" ht="15.75" customHeight="1">
      <c r="A120" s="7" t="s">
        <v>1119</v>
      </c>
      <c r="B120" s="7" t="s">
        <v>1079</v>
      </c>
      <c r="C120" s="9" t="s">
        <v>1120</v>
      </c>
      <c r="D120" s="7" t="s">
        <v>1121</v>
      </c>
      <c r="E120" s="7" t="s">
        <v>1122</v>
      </c>
      <c r="F120" s="7" t="s">
        <v>1123</v>
      </c>
      <c r="G120" s="21" t="s">
        <v>67</v>
      </c>
      <c r="H120" s="7" t="s">
        <v>39</v>
      </c>
      <c r="I120" s="15" t="s">
        <v>44</v>
      </c>
      <c r="J120" s="16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20"/>
  <dataValidations>
    <dataValidation type="list" allowBlank="1" sqref="I2:I120">
      <formula1>"Approve,Reject,Later,Discuss"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30.0"/>
    <col customWidth="1" min="4" max="4" width="42.0"/>
    <col customWidth="1" min="5" max="5" width="26.0"/>
    <col customWidth="1" min="6" max="6" width="50.0"/>
    <col customWidth="1" min="7" max="7" width="16.0"/>
    <col customWidth="1" min="8" max="8" width="17.0"/>
    <col customWidth="1" min="9" max="9" width="12.0"/>
    <col customWidth="1" min="10" max="10" width="30.0"/>
    <col customWidth="1" min="11" max="26" width="8.71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5" t="s">
        <v>10</v>
      </c>
      <c r="J1" s="5" t="s">
        <v>14</v>
      </c>
    </row>
    <row r="2">
      <c r="A2" s="7" t="s">
        <v>16</v>
      </c>
      <c r="B2" s="7" t="s">
        <v>17</v>
      </c>
      <c r="C2" s="9" t="s">
        <v>19</v>
      </c>
      <c r="D2" s="7" t="s">
        <v>20</v>
      </c>
      <c r="E2" s="7" t="s">
        <v>23</v>
      </c>
      <c r="F2" s="7" t="s">
        <v>25</v>
      </c>
      <c r="G2" s="12" t="s">
        <v>28</v>
      </c>
      <c r="H2" s="7" t="s">
        <v>36</v>
      </c>
      <c r="I2" s="15" t="s">
        <v>44</v>
      </c>
      <c r="J2" s="16"/>
    </row>
    <row r="3">
      <c r="A3" s="7" t="s">
        <v>46</v>
      </c>
      <c r="B3" s="7" t="s">
        <v>17</v>
      </c>
      <c r="C3" s="9" t="s">
        <v>48</v>
      </c>
      <c r="D3" s="7" t="s">
        <v>51</v>
      </c>
      <c r="E3" s="7" t="s">
        <v>53</v>
      </c>
      <c r="F3" s="7" t="s">
        <v>54</v>
      </c>
      <c r="G3" s="12" t="s">
        <v>28</v>
      </c>
      <c r="H3" s="7" t="s">
        <v>36</v>
      </c>
      <c r="I3" s="15" t="s">
        <v>44</v>
      </c>
      <c r="J3" s="16"/>
    </row>
    <row r="4">
      <c r="A4" s="7" t="s">
        <v>58</v>
      </c>
      <c r="B4" s="7" t="s">
        <v>17</v>
      </c>
      <c r="C4" s="9" t="s">
        <v>60</v>
      </c>
      <c r="D4" s="7" t="s">
        <v>62</v>
      </c>
      <c r="E4" s="7" t="s">
        <v>63</v>
      </c>
      <c r="F4" s="7" t="s">
        <v>65</v>
      </c>
      <c r="G4" s="12" t="s">
        <v>28</v>
      </c>
      <c r="H4" s="7" t="s">
        <v>36</v>
      </c>
      <c r="I4" s="15" t="s">
        <v>44</v>
      </c>
      <c r="J4" s="16"/>
    </row>
    <row r="5">
      <c r="A5" s="7" t="s">
        <v>69</v>
      </c>
      <c r="B5" s="7" t="s">
        <v>17</v>
      </c>
      <c r="C5" s="9" t="s">
        <v>70</v>
      </c>
      <c r="D5" s="7" t="s">
        <v>73</v>
      </c>
      <c r="E5" s="7" t="s">
        <v>74</v>
      </c>
      <c r="F5" s="7" t="s">
        <v>76</v>
      </c>
      <c r="G5" s="21" t="s">
        <v>67</v>
      </c>
      <c r="H5" s="7" t="s">
        <v>36</v>
      </c>
      <c r="I5" s="15" t="s">
        <v>44</v>
      </c>
      <c r="J5" s="16"/>
    </row>
    <row r="6">
      <c r="A6" s="7" t="s">
        <v>83</v>
      </c>
      <c r="B6" s="7" t="s">
        <v>17</v>
      </c>
      <c r="C6" s="9" t="s">
        <v>85</v>
      </c>
      <c r="D6" s="7" t="s">
        <v>87</v>
      </c>
      <c r="E6" s="7" t="s">
        <v>88</v>
      </c>
      <c r="F6" s="7" t="s">
        <v>91</v>
      </c>
      <c r="G6" s="21" t="s">
        <v>67</v>
      </c>
      <c r="H6" s="7" t="s">
        <v>36</v>
      </c>
      <c r="I6" s="15" t="s">
        <v>44</v>
      </c>
      <c r="J6" s="16"/>
    </row>
    <row r="7">
      <c r="A7" s="7" t="s">
        <v>97</v>
      </c>
      <c r="B7" s="7" t="s">
        <v>98</v>
      </c>
      <c r="C7" s="9" t="s">
        <v>100</v>
      </c>
      <c r="D7" s="7" t="s">
        <v>103</v>
      </c>
      <c r="E7" s="7" t="s">
        <v>104</v>
      </c>
      <c r="F7" s="7" t="s">
        <v>107</v>
      </c>
      <c r="G7" s="12" t="s">
        <v>28</v>
      </c>
      <c r="H7" s="7" t="s">
        <v>36</v>
      </c>
      <c r="I7" s="15" t="s">
        <v>44</v>
      </c>
      <c r="J7" s="16"/>
    </row>
    <row r="8">
      <c r="A8" s="7" t="s">
        <v>117</v>
      </c>
      <c r="B8" s="7" t="s">
        <v>98</v>
      </c>
      <c r="C8" s="9" t="s">
        <v>119</v>
      </c>
      <c r="D8" s="7" t="s">
        <v>121</v>
      </c>
      <c r="E8" s="7" t="s">
        <v>124</v>
      </c>
      <c r="F8" s="7" t="s">
        <v>126</v>
      </c>
      <c r="G8" s="12" t="s">
        <v>28</v>
      </c>
      <c r="H8" s="7" t="s">
        <v>36</v>
      </c>
      <c r="I8" s="15" t="s">
        <v>44</v>
      </c>
      <c r="J8" s="16"/>
    </row>
    <row r="9">
      <c r="A9" s="7" t="s">
        <v>136</v>
      </c>
      <c r="B9" s="7" t="s">
        <v>98</v>
      </c>
      <c r="C9" s="9" t="s">
        <v>138</v>
      </c>
      <c r="D9" s="7" t="s">
        <v>140</v>
      </c>
      <c r="E9" s="7" t="s">
        <v>141</v>
      </c>
      <c r="F9" s="7" t="s">
        <v>143</v>
      </c>
      <c r="G9" s="12" t="s">
        <v>28</v>
      </c>
      <c r="H9" s="7" t="s">
        <v>36</v>
      </c>
      <c r="I9" s="15" t="s">
        <v>44</v>
      </c>
      <c r="J9" s="16"/>
    </row>
    <row r="10">
      <c r="A10" s="7" t="s">
        <v>157</v>
      </c>
      <c r="B10" s="7" t="s">
        <v>98</v>
      </c>
      <c r="C10" s="9" t="s">
        <v>160</v>
      </c>
      <c r="D10" s="7" t="s">
        <v>163</v>
      </c>
      <c r="E10" s="7" t="s">
        <v>165</v>
      </c>
      <c r="F10" s="7" t="s">
        <v>167</v>
      </c>
      <c r="G10" s="12" t="s">
        <v>28</v>
      </c>
      <c r="H10" s="7" t="s">
        <v>36</v>
      </c>
      <c r="I10" s="15" t="s">
        <v>44</v>
      </c>
      <c r="J10" s="16"/>
    </row>
    <row r="11">
      <c r="A11" s="7" t="s">
        <v>169</v>
      </c>
      <c r="B11" s="7" t="s">
        <v>98</v>
      </c>
      <c r="C11" s="9" t="s">
        <v>171</v>
      </c>
      <c r="D11" s="7" t="s">
        <v>174</v>
      </c>
      <c r="E11" s="7" t="s">
        <v>175</v>
      </c>
      <c r="F11" s="7" t="s">
        <v>177</v>
      </c>
      <c r="G11" s="22" t="s">
        <v>55</v>
      </c>
      <c r="H11" s="7" t="s">
        <v>36</v>
      </c>
      <c r="I11" s="15" t="s">
        <v>44</v>
      </c>
      <c r="J11" s="16"/>
    </row>
    <row r="12">
      <c r="A12" s="7" t="s">
        <v>178</v>
      </c>
      <c r="B12" s="7" t="s">
        <v>98</v>
      </c>
      <c r="C12" s="9" t="s">
        <v>180</v>
      </c>
      <c r="D12" s="7" t="s">
        <v>182</v>
      </c>
      <c r="E12" s="7" t="s">
        <v>183</v>
      </c>
      <c r="F12" s="7" t="s">
        <v>184</v>
      </c>
      <c r="G12" s="22" t="s">
        <v>55</v>
      </c>
      <c r="H12" s="7" t="s">
        <v>187</v>
      </c>
      <c r="I12" s="15" t="s">
        <v>44</v>
      </c>
      <c r="J12" s="16"/>
    </row>
    <row r="13">
      <c r="A13" s="7" t="s">
        <v>190</v>
      </c>
      <c r="B13" s="7" t="s">
        <v>98</v>
      </c>
      <c r="C13" s="9" t="s">
        <v>193</v>
      </c>
      <c r="D13" s="7" t="s">
        <v>194</v>
      </c>
      <c r="E13" s="7" t="s">
        <v>195</v>
      </c>
      <c r="F13" s="7" t="s">
        <v>196</v>
      </c>
      <c r="G13" s="21" t="s">
        <v>67</v>
      </c>
      <c r="H13" s="7" t="s">
        <v>36</v>
      </c>
      <c r="I13" s="15" t="s">
        <v>44</v>
      </c>
      <c r="J13" s="16"/>
    </row>
    <row r="14">
      <c r="A14" s="7" t="s">
        <v>198</v>
      </c>
      <c r="B14" s="7" t="s">
        <v>98</v>
      </c>
      <c r="C14" s="9" t="s">
        <v>201</v>
      </c>
      <c r="D14" s="7" t="s">
        <v>203</v>
      </c>
      <c r="E14" s="7" t="s">
        <v>204</v>
      </c>
      <c r="F14" s="7" t="s">
        <v>206</v>
      </c>
      <c r="G14" s="21" t="s">
        <v>67</v>
      </c>
      <c r="H14" s="7" t="s">
        <v>36</v>
      </c>
      <c r="I14" s="15" t="s">
        <v>44</v>
      </c>
      <c r="J14" s="16"/>
    </row>
    <row r="15">
      <c r="A15" s="7" t="s">
        <v>208</v>
      </c>
      <c r="B15" s="7" t="s">
        <v>98</v>
      </c>
      <c r="C15" s="9" t="s">
        <v>209</v>
      </c>
      <c r="D15" s="7" t="s">
        <v>211</v>
      </c>
      <c r="E15" s="7" t="s">
        <v>213</v>
      </c>
      <c r="F15" s="7" t="s">
        <v>215</v>
      </c>
      <c r="G15" s="21" t="s">
        <v>67</v>
      </c>
      <c r="H15" s="7" t="s">
        <v>217</v>
      </c>
      <c r="I15" s="15" t="s">
        <v>44</v>
      </c>
      <c r="J15" s="16"/>
    </row>
    <row r="16">
      <c r="A16" s="7" t="s">
        <v>218</v>
      </c>
      <c r="B16" s="7" t="s">
        <v>98</v>
      </c>
      <c r="C16" s="9" t="s">
        <v>219</v>
      </c>
      <c r="D16" s="7" t="s">
        <v>220</v>
      </c>
      <c r="E16" s="7" t="s">
        <v>221</v>
      </c>
      <c r="F16" s="7" t="s">
        <v>222</v>
      </c>
      <c r="G16" s="26" t="s">
        <v>71</v>
      </c>
      <c r="H16" s="7" t="s">
        <v>187</v>
      </c>
      <c r="I16" s="15" t="s">
        <v>181</v>
      </c>
      <c r="J16" s="16"/>
    </row>
    <row r="17">
      <c r="A17" s="7" t="s">
        <v>228</v>
      </c>
      <c r="B17" s="7" t="s">
        <v>229</v>
      </c>
      <c r="C17" s="9" t="s">
        <v>230</v>
      </c>
      <c r="D17" s="7" t="s">
        <v>231</v>
      </c>
      <c r="E17" s="7" t="s">
        <v>232</v>
      </c>
      <c r="F17" s="7" t="s">
        <v>233</v>
      </c>
      <c r="G17" s="12" t="s">
        <v>28</v>
      </c>
      <c r="H17" s="7" t="s">
        <v>36</v>
      </c>
      <c r="I17" s="15" t="s">
        <v>44</v>
      </c>
      <c r="J17" s="16"/>
    </row>
    <row r="18">
      <c r="A18" s="7" t="s">
        <v>237</v>
      </c>
      <c r="B18" s="7" t="s">
        <v>229</v>
      </c>
      <c r="C18" s="9" t="s">
        <v>240</v>
      </c>
      <c r="D18" s="7" t="s">
        <v>241</v>
      </c>
      <c r="E18" s="7" t="s">
        <v>242</v>
      </c>
      <c r="F18" s="7" t="s">
        <v>243</v>
      </c>
      <c r="G18" s="12" t="s">
        <v>28</v>
      </c>
      <c r="H18" s="7" t="s">
        <v>36</v>
      </c>
      <c r="I18" s="15" t="s">
        <v>44</v>
      </c>
      <c r="J18" s="16"/>
    </row>
    <row r="19">
      <c r="A19" s="7" t="s">
        <v>246</v>
      </c>
      <c r="B19" s="7" t="s">
        <v>229</v>
      </c>
      <c r="C19" s="9" t="s">
        <v>249</v>
      </c>
      <c r="D19" s="7" t="s">
        <v>251</v>
      </c>
      <c r="E19" s="7" t="s">
        <v>252</v>
      </c>
      <c r="F19" s="7" t="s">
        <v>253</v>
      </c>
      <c r="G19" s="12" t="s">
        <v>28</v>
      </c>
      <c r="H19" s="7" t="s">
        <v>36</v>
      </c>
      <c r="I19" s="15" t="s">
        <v>44</v>
      </c>
      <c r="J19" s="16"/>
    </row>
    <row r="20">
      <c r="A20" s="7" t="s">
        <v>255</v>
      </c>
      <c r="B20" s="7" t="s">
        <v>229</v>
      </c>
      <c r="C20" s="9" t="s">
        <v>256</v>
      </c>
      <c r="D20" s="7" t="s">
        <v>258</v>
      </c>
      <c r="E20" s="7" t="s">
        <v>260</v>
      </c>
      <c r="F20" s="7" t="s">
        <v>262</v>
      </c>
      <c r="G20" s="12" t="s">
        <v>28</v>
      </c>
      <c r="H20" s="7" t="s">
        <v>36</v>
      </c>
      <c r="I20" s="15" t="s">
        <v>44</v>
      </c>
      <c r="J20" s="16"/>
    </row>
    <row r="21" ht="15.75" customHeight="1">
      <c r="A21" s="7" t="s">
        <v>264</v>
      </c>
      <c r="B21" s="7" t="s">
        <v>229</v>
      </c>
      <c r="C21" s="9" t="s">
        <v>265</v>
      </c>
      <c r="D21" s="7" t="s">
        <v>266</v>
      </c>
      <c r="E21" s="7" t="s">
        <v>268</v>
      </c>
      <c r="F21" s="7" t="s">
        <v>269</v>
      </c>
      <c r="G21" s="12" t="s">
        <v>28</v>
      </c>
      <c r="H21" s="7" t="s">
        <v>36</v>
      </c>
      <c r="I21" s="15" t="s">
        <v>44</v>
      </c>
      <c r="J21" s="16"/>
    </row>
    <row r="22" ht="15.75" customHeight="1">
      <c r="A22" s="7" t="s">
        <v>274</v>
      </c>
      <c r="B22" s="7" t="s">
        <v>229</v>
      </c>
      <c r="C22" s="9" t="s">
        <v>275</v>
      </c>
      <c r="D22" s="7" t="s">
        <v>276</v>
      </c>
      <c r="E22" s="7" t="s">
        <v>277</v>
      </c>
      <c r="F22" s="7" t="s">
        <v>279</v>
      </c>
      <c r="G22" s="22" t="s">
        <v>55</v>
      </c>
      <c r="H22" s="7" t="s">
        <v>217</v>
      </c>
      <c r="I22" s="15" t="s">
        <v>44</v>
      </c>
      <c r="J22" s="16"/>
    </row>
    <row r="23" ht="15.75" customHeight="1">
      <c r="A23" s="7" t="s">
        <v>284</v>
      </c>
      <c r="B23" s="7" t="s">
        <v>229</v>
      </c>
      <c r="C23" s="9" t="s">
        <v>285</v>
      </c>
      <c r="D23" s="7" t="s">
        <v>286</v>
      </c>
      <c r="E23" s="7" t="s">
        <v>287</v>
      </c>
      <c r="F23" s="7" t="s">
        <v>288</v>
      </c>
      <c r="G23" s="22" t="s">
        <v>55</v>
      </c>
      <c r="H23" s="7" t="s">
        <v>36</v>
      </c>
      <c r="I23" s="15" t="s">
        <v>44</v>
      </c>
      <c r="J23" s="16"/>
    </row>
    <row r="24" ht="15.75" customHeight="1">
      <c r="A24" s="7" t="s">
        <v>296</v>
      </c>
      <c r="B24" s="7" t="s">
        <v>229</v>
      </c>
      <c r="C24" s="9" t="s">
        <v>297</v>
      </c>
      <c r="D24" s="7" t="s">
        <v>298</v>
      </c>
      <c r="E24" s="7" t="s">
        <v>299</v>
      </c>
      <c r="F24" s="7" t="s">
        <v>300</v>
      </c>
      <c r="G24" s="22" t="s">
        <v>55</v>
      </c>
      <c r="H24" s="7" t="s">
        <v>187</v>
      </c>
      <c r="I24" s="15" t="s">
        <v>44</v>
      </c>
      <c r="J24" s="16"/>
    </row>
    <row r="25" ht="15.75" customHeight="1">
      <c r="A25" s="7" t="s">
        <v>301</v>
      </c>
      <c r="B25" s="7" t="s">
        <v>229</v>
      </c>
      <c r="C25" s="9" t="s">
        <v>302</v>
      </c>
      <c r="D25" s="7" t="s">
        <v>303</v>
      </c>
      <c r="E25" s="7" t="s">
        <v>304</v>
      </c>
      <c r="F25" s="7" t="s">
        <v>305</v>
      </c>
      <c r="G25" s="21" t="s">
        <v>67</v>
      </c>
      <c r="H25" s="7" t="s">
        <v>36</v>
      </c>
      <c r="I25" s="15" t="s">
        <v>44</v>
      </c>
      <c r="J25" s="16"/>
    </row>
    <row r="26" ht="15.75" customHeight="1">
      <c r="A26" s="7" t="s">
        <v>308</v>
      </c>
      <c r="B26" s="7" t="s">
        <v>229</v>
      </c>
      <c r="C26" s="9" t="s">
        <v>310</v>
      </c>
      <c r="D26" s="7" t="s">
        <v>312</v>
      </c>
      <c r="E26" s="7" t="s">
        <v>313</v>
      </c>
      <c r="F26" s="7" t="s">
        <v>315</v>
      </c>
      <c r="G26" s="21" t="s">
        <v>67</v>
      </c>
      <c r="H26" s="7" t="s">
        <v>36</v>
      </c>
      <c r="I26" s="15" t="s">
        <v>44</v>
      </c>
      <c r="J26" s="16"/>
    </row>
    <row r="27" ht="15.75" customHeight="1">
      <c r="A27" s="7" t="s">
        <v>316</v>
      </c>
      <c r="B27" s="7" t="s">
        <v>229</v>
      </c>
      <c r="C27" s="9" t="s">
        <v>317</v>
      </c>
      <c r="D27" s="7" t="s">
        <v>319</v>
      </c>
      <c r="E27" s="7" t="s">
        <v>320</v>
      </c>
      <c r="F27" s="7" t="s">
        <v>321</v>
      </c>
      <c r="G27" s="26" t="s">
        <v>71</v>
      </c>
      <c r="H27" s="7" t="s">
        <v>187</v>
      </c>
      <c r="I27" s="15" t="s">
        <v>181</v>
      </c>
      <c r="J27" s="16"/>
    </row>
    <row r="28" ht="15.75" customHeight="1">
      <c r="A28" s="7" t="s">
        <v>326</v>
      </c>
      <c r="B28" s="7" t="s">
        <v>327</v>
      </c>
      <c r="C28" s="9" t="s">
        <v>328</v>
      </c>
      <c r="D28" s="7" t="s">
        <v>329</v>
      </c>
      <c r="E28" s="7" t="s">
        <v>330</v>
      </c>
      <c r="F28" s="7" t="s">
        <v>331</v>
      </c>
      <c r="G28" s="12" t="s">
        <v>28</v>
      </c>
      <c r="H28" s="7" t="s">
        <v>36</v>
      </c>
      <c r="I28" s="15" t="s">
        <v>44</v>
      </c>
      <c r="J28" s="16"/>
    </row>
    <row r="29" ht="15.75" customHeight="1">
      <c r="A29" s="7" t="s">
        <v>337</v>
      </c>
      <c r="B29" s="7" t="s">
        <v>339</v>
      </c>
      <c r="C29" s="9" t="s">
        <v>340</v>
      </c>
      <c r="D29" s="7" t="s">
        <v>341</v>
      </c>
      <c r="E29" s="7" t="s">
        <v>342</v>
      </c>
      <c r="F29" s="7" t="s">
        <v>343</v>
      </c>
      <c r="G29" s="12" t="s">
        <v>28</v>
      </c>
      <c r="H29" s="7" t="s">
        <v>36</v>
      </c>
      <c r="I29" s="15" t="s">
        <v>44</v>
      </c>
      <c r="J29" s="16"/>
    </row>
    <row r="30" ht="15.75" customHeight="1">
      <c r="A30" s="7" t="s">
        <v>345</v>
      </c>
      <c r="B30" s="7" t="s">
        <v>339</v>
      </c>
      <c r="C30" s="9" t="s">
        <v>347</v>
      </c>
      <c r="D30" s="7" t="s">
        <v>349</v>
      </c>
      <c r="E30" s="7" t="s">
        <v>350</v>
      </c>
      <c r="F30" s="7" t="s">
        <v>352</v>
      </c>
      <c r="G30" s="12" t="s">
        <v>28</v>
      </c>
      <c r="H30" s="7" t="s">
        <v>36</v>
      </c>
      <c r="I30" s="15" t="s">
        <v>44</v>
      </c>
      <c r="J30" s="16"/>
    </row>
    <row r="31" ht="15.75" customHeight="1">
      <c r="A31" s="7" t="s">
        <v>354</v>
      </c>
      <c r="B31" s="7" t="s">
        <v>339</v>
      </c>
      <c r="C31" s="9" t="s">
        <v>355</v>
      </c>
      <c r="D31" s="7" t="s">
        <v>357</v>
      </c>
      <c r="E31" s="7" t="s">
        <v>358</v>
      </c>
      <c r="F31" s="7" t="s">
        <v>359</v>
      </c>
      <c r="G31" s="12" t="s">
        <v>28</v>
      </c>
      <c r="H31" s="7" t="s">
        <v>36</v>
      </c>
      <c r="I31" s="15" t="s">
        <v>44</v>
      </c>
      <c r="J31" s="16"/>
    </row>
    <row r="32" ht="15.75" customHeight="1">
      <c r="A32" s="7" t="s">
        <v>363</v>
      </c>
      <c r="B32" s="7" t="s">
        <v>339</v>
      </c>
      <c r="C32" s="9" t="s">
        <v>364</v>
      </c>
      <c r="D32" s="7" t="s">
        <v>365</v>
      </c>
      <c r="E32" s="7" t="s">
        <v>366</v>
      </c>
      <c r="F32" s="7" t="s">
        <v>367</v>
      </c>
      <c r="G32" s="12" t="s">
        <v>28</v>
      </c>
      <c r="H32" s="7" t="s">
        <v>36</v>
      </c>
      <c r="I32" s="15" t="s">
        <v>44</v>
      </c>
      <c r="J32" s="16"/>
    </row>
    <row r="33" ht="15.75" customHeight="1">
      <c r="A33" s="7" t="s">
        <v>371</v>
      </c>
      <c r="B33" s="7" t="s">
        <v>339</v>
      </c>
      <c r="C33" s="9" t="s">
        <v>373</v>
      </c>
      <c r="D33" s="7" t="s">
        <v>375</v>
      </c>
      <c r="E33" s="7" t="s">
        <v>376</v>
      </c>
      <c r="F33" s="7" t="s">
        <v>377</v>
      </c>
      <c r="G33" s="12" t="s">
        <v>28</v>
      </c>
      <c r="H33" s="7" t="s">
        <v>36</v>
      </c>
      <c r="I33" s="15" t="s">
        <v>44</v>
      </c>
      <c r="J33" s="16"/>
    </row>
    <row r="34" ht="15.75" customHeight="1">
      <c r="A34" s="7" t="s">
        <v>379</v>
      </c>
      <c r="B34" s="7" t="s">
        <v>339</v>
      </c>
      <c r="C34" s="9" t="s">
        <v>382</v>
      </c>
      <c r="D34" s="7" t="s">
        <v>383</v>
      </c>
      <c r="E34" s="7" t="s">
        <v>385</v>
      </c>
      <c r="F34" s="7" t="s">
        <v>386</v>
      </c>
      <c r="G34" s="12" t="s">
        <v>28</v>
      </c>
      <c r="H34" s="7" t="s">
        <v>36</v>
      </c>
      <c r="I34" s="15" t="s">
        <v>44</v>
      </c>
      <c r="J34" s="16"/>
    </row>
    <row r="35" ht="15.75" customHeight="1">
      <c r="A35" s="7" t="s">
        <v>388</v>
      </c>
      <c r="B35" s="7" t="s">
        <v>339</v>
      </c>
      <c r="C35" s="9" t="s">
        <v>389</v>
      </c>
      <c r="D35" s="7" t="s">
        <v>395</v>
      </c>
      <c r="E35" s="7" t="s">
        <v>398</v>
      </c>
      <c r="F35" s="7" t="s">
        <v>399</v>
      </c>
      <c r="G35" s="22" t="s">
        <v>55</v>
      </c>
      <c r="H35" s="7" t="s">
        <v>217</v>
      </c>
      <c r="I35" s="15" t="s">
        <v>44</v>
      </c>
      <c r="J35" s="16"/>
    </row>
    <row r="36" ht="15.75" customHeight="1">
      <c r="A36" s="7" t="s">
        <v>403</v>
      </c>
      <c r="B36" s="7" t="s">
        <v>339</v>
      </c>
      <c r="C36" s="9" t="s">
        <v>406</v>
      </c>
      <c r="D36" s="7" t="s">
        <v>407</v>
      </c>
      <c r="E36" s="7" t="s">
        <v>408</v>
      </c>
      <c r="F36" s="7" t="s">
        <v>410</v>
      </c>
      <c r="G36" s="22" t="s">
        <v>55</v>
      </c>
      <c r="H36" s="7" t="s">
        <v>217</v>
      </c>
      <c r="I36" s="15" t="s">
        <v>44</v>
      </c>
      <c r="J36" s="16"/>
    </row>
    <row r="37" ht="15.75" customHeight="1">
      <c r="A37" s="7" t="s">
        <v>417</v>
      </c>
      <c r="B37" s="7" t="s">
        <v>339</v>
      </c>
      <c r="C37" s="9" t="s">
        <v>419</v>
      </c>
      <c r="D37" s="7" t="s">
        <v>420</v>
      </c>
      <c r="E37" s="7" t="s">
        <v>422</v>
      </c>
      <c r="F37" s="7" t="s">
        <v>425</v>
      </c>
      <c r="G37" s="21" t="s">
        <v>67</v>
      </c>
      <c r="H37" s="7" t="s">
        <v>217</v>
      </c>
      <c r="I37" s="15" t="s">
        <v>44</v>
      </c>
      <c r="J37" s="16"/>
    </row>
    <row r="38" ht="15.75" customHeight="1">
      <c r="A38" s="7" t="s">
        <v>432</v>
      </c>
      <c r="B38" s="7" t="s">
        <v>433</v>
      </c>
      <c r="C38" s="9" t="s">
        <v>435</v>
      </c>
      <c r="D38" s="7" t="s">
        <v>436</v>
      </c>
      <c r="E38" s="7" t="s">
        <v>63</v>
      </c>
      <c r="F38" s="7" t="s">
        <v>437</v>
      </c>
      <c r="G38" s="12" t="s">
        <v>28</v>
      </c>
      <c r="H38" s="7" t="s">
        <v>36</v>
      </c>
      <c r="I38" s="15" t="s">
        <v>44</v>
      </c>
      <c r="J38" s="16"/>
    </row>
    <row r="39" ht="15.75" customHeight="1">
      <c r="A39" s="7" t="s">
        <v>443</v>
      </c>
      <c r="B39" s="7" t="s">
        <v>433</v>
      </c>
      <c r="C39" s="9" t="s">
        <v>447</v>
      </c>
      <c r="D39" s="7" t="s">
        <v>449</v>
      </c>
      <c r="E39" s="7" t="s">
        <v>408</v>
      </c>
      <c r="F39" s="7" t="s">
        <v>452</v>
      </c>
      <c r="G39" s="22" t="s">
        <v>55</v>
      </c>
      <c r="H39" s="7" t="s">
        <v>217</v>
      </c>
      <c r="I39" s="15" t="s">
        <v>44</v>
      </c>
      <c r="J39" s="16"/>
    </row>
    <row r="40" ht="15.75" customHeight="1">
      <c r="A40" s="7" t="s">
        <v>457</v>
      </c>
      <c r="B40" s="7" t="s">
        <v>433</v>
      </c>
      <c r="C40" s="9" t="s">
        <v>460</v>
      </c>
      <c r="D40" s="7" t="s">
        <v>462</v>
      </c>
      <c r="E40" s="7" t="s">
        <v>465</v>
      </c>
      <c r="F40" s="7" t="s">
        <v>467</v>
      </c>
      <c r="G40" s="21" t="s">
        <v>67</v>
      </c>
      <c r="H40" s="7" t="s">
        <v>217</v>
      </c>
      <c r="I40" s="15" t="s">
        <v>44</v>
      </c>
      <c r="J40" s="16"/>
    </row>
    <row r="41" ht="15.75" customHeight="1">
      <c r="A41" s="7" t="s">
        <v>471</v>
      </c>
      <c r="B41" s="7" t="s">
        <v>473</v>
      </c>
      <c r="C41" s="9" t="s">
        <v>474</v>
      </c>
      <c r="D41" s="7" t="s">
        <v>475</v>
      </c>
      <c r="E41" s="7" t="s">
        <v>478</v>
      </c>
      <c r="F41" s="7" t="s">
        <v>480</v>
      </c>
      <c r="G41" s="12" t="s">
        <v>28</v>
      </c>
      <c r="H41" s="7" t="s">
        <v>36</v>
      </c>
      <c r="I41" s="15" t="s">
        <v>44</v>
      </c>
      <c r="J41" s="16"/>
    </row>
    <row r="42" ht="15.75" customHeight="1">
      <c r="A42" s="7" t="s">
        <v>487</v>
      </c>
      <c r="B42" s="7" t="s">
        <v>473</v>
      </c>
      <c r="C42" s="9" t="s">
        <v>489</v>
      </c>
      <c r="D42" s="7" t="s">
        <v>491</v>
      </c>
      <c r="E42" s="7" t="s">
        <v>493</v>
      </c>
      <c r="F42" s="7" t="s">
        <v>494</v>
      </c>
      <c r="G42" s="12" t="s">
        <v>28</v>
      </c>
      <c r="H42" s="7" t="s">
        <v>36</v>
      </c>
      <c r="I42" s="15" t="s">
        <v>44</v>
      </c>
      <c r="J42" s="16"/>
    </row>
    <row r="43" ht="15.75" customHeight="1">
      <c r="A43" s="7" t="s">
        <v>498</v>
      </c>
      <c r="B43" s="7" t="s">
        <v>473</v>
      </c>
      <c r="C43" s="9" t="s">
        <v>499</v>
      </c>
      <c r="D43" s="7" t="s">
        <v>500</v>
      </c>
      <c r="E43" s="7" t="s">
        <v>287</v>
      </c>
      <c r="F43" s="7" t="s">
        <v>503</v>
      </c>
      <c r="G43" s="12" t="s">
        <v>28</v>
      </c>
      <c r="H43" s="7" t="s">
        <v>36</v>
      </c>
      <c r="I43" s="15" t="s">
        <v>44</v>
      </c>
      <c r="J43" s="16"/>
    </row>
    <row r="44" ht="15.75" customHeight="1">
      <c r="A44" s="7" t="s">
        <v>510</v>
      </c>
      <c r="B44" s="7" t="s">
        <v>473</v>
      </c>
      <c r="C44" s="9" t="s">
        <v>514</v>
      </c>
      <c r="D44" s="7" t="s">
        <v>516</v>
      </c>
      <c r="E44" s="7" t="s">
        <v>518</v>
      </c>
      <c r="F44" s="7" t="s">
        <v>520</v>
      </c>
      <c r="G44" s="12" t="s">
        <v>28</v>
      </c>
      <c r="H44" s="7" t="s">
        <v>36</v>
      </c>
      <c r="I44" s="15" t="s">
        <v>44</v>
      </c>
      <c r="J44" s="16"/>
    </row>
    <row r="45" ht="15.75" customHeight="1">
      <c r="A45" s="7" t="s">
        <v>526</v>
      </c>
      <c r="B45" s="7" t="s">
        <v>473</v>
      </c>
      <c r="C45" s="9" t="s">
        <v>528</v>
      </c>
      <c r="D45" s="7" t="s">
        <v>529</v>
      </c>
      <c r="E45" s="7" t="s">
        <v>532</v>
      </c>
      <c r="F45" s="7" t="s">
        <v>535</v>
      </c>
      <c r="G45" s="21" t="s">
        <v>67</v>
      </c>
      <c r="H45" s="7" t="s">
        <v>217</v>
      </c>
      <c r="I45" s="15" t="s">
        <v>44</v>
      </c>
      <c r="J45" s="16"/>
    </row>
    <row r="46" ht="15.75" customHeight="1">
      <c r="A46" s="7" t="s">
        <v>540</v>
      </c>
      <c r="B46" s="7" t="s">
        <v>473</v>
      </c>
      <c r="C46" s="9" t="s">
        <v>541</v>
      </c>
      <c r="D46" s="7" t="s">
        <v>542</v>
      </c>
      <c r="E46" s="7" t="s">
        <v>544</v>
      </c>
      <c r="F46" s="7" t="s">
        <v>545</v>
      </c>
      <c r="G46" s="21" t="s">
        <v>67</v>
      </c>
      <c r="H46" s="7" t="s">
        <v>217</v>
      </c>
      <c r="I46" s="15" t="s">
        <v>44</v>
      </c>
      <c r="J46" s="16"/>
    </row>
    <row r="47" ht="15.75" customHeight="1">
      <c r="A47" s="7" t="s">
        <v>550</v>
      </c>
      <c r="B47" s="7" t="s">
        <v>473</v>
      </c>
      <c r="C47" s="9" t="s">
        <v>551</v>
      </c>
      <c r="D47" s="7" t="s">
        <v>552</v>
      </c>
      <c r="E47" s="7" t="s">
        <v>553</v>
      </c>
      <c r="F47" s="7" t="s">
        <v>554</v>
      </c>
      <c r="G47" s="26" t="s">
        <v>71</v>
      </c>
      <c r="H47" s="7" t="s">
        <v>187</v>
      </c>
      <c r="I47" s="15" t="s">
        <v>44</v>
      </c>
      <c r="J47" s="16"/>
    </row>
    <row r="48" ht="15.75" customHeight="1">
      <c r="A48" s="7" t="s">
        <v>557</v>
      </c>
      <c r="B48" s="7" t="s">
        <v>559</v>
      </c>
      <c r="C48" s="9" t="s">
        <v>560</v>
      </c>
      <c r="D48" s="7" t="s">
        <v>562</v>
      </c>
      <c r="E48" s="7" t="s">
        <v>564</v>
      </c>
      <c r="F48" s="7" t="s">
        <v>565</v>
      </c>
      <c r="G48" s="12" t="s">
        <v>28</v>
      </c>
      <c r="H48" s="7" t="s">
        <v>36</v>
      </c>
      <c r="I48" s="15" t="s">
        <v>44</v>
      </c>
      <c r="J48" s="16"/>
    </row>
    <row r="49" ht="15.75" customHeight="1">
      <c r="A49" s="7" t="s">
        <v>571</v>
      </c>
      <c r="B49" s="7" t="s">
        <v>559</v>
      </c>
      <c r="C49" s="9" t="s">
        <v>572</v>
      </c>
      <c r="D49" s="7" t="s">
        <v>574</v>
      </c>
      <c r="E49" s="7" t="s">
        <v>575</v>
      </c>
      <c r="F49" s="7" t="s">
        <v>576</v>
      </c>
      <c r="G49" s="12" t="s">
        <v>28</v>
      </c>
      <c r="H49" s="7" t="s">
        <v>36</v>
      </c>
      <c r="I49" s="15" t="s">
        <v>44</v>
      </c>
      <c r="J49" s="16"/>
    </row>
    <row r="50" ht="15.75" customHeight="1">
      <c r="A50" s="7" t="s">
        <v>578</v>
      </c>
      <c r="B50" s="7" t="s">
        <v>559</v>
      </c>
      <c r="C50" s="9" t="s">
        <v>580</v>
      </c>
      <c r="D50" s="7" t="s">
        <v>581</v>
      </c>
      <c r="E50" s="7" t="s">
        <v>583</v>
      </c>
      <c r="F50" s="7" t="s">
        <v>585</v>
      </c>
      <c r="G50" s="22" t="s">
        <v>55</v>
      </c>
      <c r="H50" s="7" t="s">
        <v>179</v>
      </c>
      <c r="I50" s="15" t="s">
        <v>44</v>
      </c>
      <c r="J50" s="16"/>
    </row>
    <row r="51" ht="15.75" customHeight="1">
      <c r="A51" s="7" t="s">
        <v>589</v>
      </c>
      <c r="B51" s="7" t="s">
        <v>559</v>
      </c>
      <c r="C51" s="9" t="s">
        <v>591</v>
      </c>
      <c r="D51" s="7" t="s">
        <v>592</v>
      </c>
      <c r="E51" s="7" t="s">
        <v>594</v>
      </c>
      <c r="F51" s="7" t="s">
        <v>596</v>
      </c>
      <c r="G51" s="22" t="s">
        <v>55</v>
      </c>
      <c r="H51" s="7" t="s">
        <v>179</v>
      </c>
      <c r="I51" s="15" t="s">
        <v>44</v>
      </c>
      <c r="J51" s="16"/>
    </row>
    <row r="52" ht="15.75" customHeight="1">
      <c r="A52" s="7" t="s">
        <v>598</v>
      </c>
      <c r="B52" s="7" t="s">
        <v>559</v>
      </c>
      <c r="C52" s="9" t="s">
        <v>599</v>
      </c>
      <c r="D52" s="7" t="s">
        <v>600</v>
      </c>
      <c r="E52" s="7" t="s">
        <v>518</v>
      </c>
      <c r="F52" s="7" t="s">
        <v>601</v>
      </c>
      <c r="G52" s="21" t="s">
        <v>67</v>
      </c>
      <c r="H52" s="7" t="s">
        <v>217</v>
      </c>
      <c r="I52" s="15" t="s">
        <v>44</v>
      </c>
      <c r="J52" s="16"/>
    </row>
    <row r="53" ht="15.75" customHeight="1">
      <c r="A53" s="7" t="s">
        <v>604</v>
      </c>
      <c r="B53" s="7" t="s">
        <v>559</v>
      </c>
      <c r="C53" s="9" t="s">
        <v>606</v>
      </c>
      <c r="D53" s="7" t="s">
        <v>608</v>
      </c>
      <c r="E53" s="7" t="s">
        <v>260</v>
      </c>
      <c r="F53" s="7" t="s">
        <v>610</v>
      </c>
      <c r="G53" s="21" t="s">
        <v>67</v>
      </c>
      <c r="H53" s="7" t="s">
        <v>217</v>
      </c>
      <c r="I53" s="15" t="s">
        <v>44</v>
      </c>
      <c r="J53" s="16"/>
    </row>
    <row r="54" ht="15.75" customHeight="1">
      <c r="A54" s="7" t="s">
        <v>611</v>
      </c>
      <c r="B54" s="7" t="s">
        <v>612</v>
      </c>
      <c r="C54" s="9" t="s">
        <v>613</v>
      </c>
      <c r="D54" s="7" t="s">
        <v>615</v>
      </c>
      <c r="E54" s="7" t="s">
        <v>616</v>
      </c>
      <c r="F54" s="7" t="s">
        <v>617</v>
      </c>
      <c r="G54" s="12" t="s">
        <v>28</v>
      </c>
      <c r="H54" s="7" t="s">
        <v>36</v>
      </c>
      <c r="I54" s="15" t="s">
        <v>44</v>
      </c>
      <c r="J54" s="16"/>
    </row>
    <row r="55" ht="15.75" customHeight="1">
      <c r="A55" s="7" t="s">
        <v>622</v>
      </c>
      <c r="B55" s="7" t="s">
        <v>612</v>
      </c>
      <c r="C55" s="9" t="s">
        <v>623</v>
      </c>
      <c r="D55" s="7" t="s">
        <v>624</v>
      </c>
      <c r="E55" s="7" t="s">
        <v>260</v>
      </c>
      <c r="F55" s="7" t="s">
        <v>625</v>
      </c>
      <c r="G55" s="12" t="s">
        <v>28</v>
      </c>
      <c r="H55" s="7" t="s">
        <v>36</v>
      </c>
      <c r="I55" s="15" t="s">
        <v>44</v>
      </c>
      <c r="J55" s="16"/>
    </row>
    <row r="56" ht="15.75" customHeight="1">
      <c r="A56" s="7" t="s">
        <v>630</v>
      </c>
      <c r="B56" s="7" t="s">
        <v>612</v>
      </c>
      <c r="C56" s="9" t="s">
        <v>631</v>
      </c>
      <c r="D56" s="7" t="s">
        <v>632</v>
      </c>
      <c r="E56" s="7" t="s">
        <v>633</v>
      </c>
      <c r="F56" s="7" t="s">
        <v>634</v>
      </c>
      <c r="G56" s="12" t="s">
        <v>28</v>
      </c>
      <c r="H56" s="7" t="s">
        <v>36</v>
      </c>
      <c r="I56" s="15" t="s">
        <v>44</v>
      </c>
      <c r="J56" s="16"/>
    </row>
    <row r="57" ht="15.75" customHeight="1">
      <c r="A57" s="7" t="s">
        <v>640</v>
      </c>
      <c r="B57" s="7" t="s">
        <v>612</v>
      </c>
      <c r="C57" s="9" t="s">
        <v>641</v>
      </c>
      <c r="D57" s="7" t="s">
        <v>642</v>
      </c>
      <c r="E57" s="7" t="s">
        <v>260</v>
      </c>
      <c r="F57" s="7" t="s">
        <v>644</v>
      </c>
      <c r="G57" s="12" t="s">
        <v>28</v>
      </c>
      <c r="H57" s="7" t="s">
        <v>36</v>
      </c>
      <c r="I57" s="15" t="s">
        <v>44</v>
      </c>
      <c r="J57" s="16"/>
    </row>
    <row r="58" ht="15.75" customHeight="1">
      <c r="A58" s="7" t="s">
        <v>648</v>
      </c>
      <c r="B58" s="7" t="s">
        <v>612</v>
      </c>
      <c r="C58" s="9" t="s">
        <v>649</v>
      </c>
      <c r="D58" s="7" t="s">
        <v>651</v>
      </c>
      <c r="E58" s="7" t="s">
        <v>652</v>
      </c>
      <c r="F58" s="7" t="s">
        <v>653</v>
      </c>
      <c r="G58" s="26" t="s">
        <v>71</v>
      </c>
      <c r="H58" s="7" t="s">
        <v>187</v>
      </c>
      <c r="I58" s="15" t="s">
        <v>181</v>
      </c>
      <c r="J58" s="16"/>
    </row>
    <row r="59" ht="15.75" customHeight="1">
      <c r="A59" s="7" t="s">
        <v>657</v>
      </c>
      <c r="B59" s="7" t="s">
        <v>658</v>
      </c>
      <c r="C59" s="9" t="s">
        <v>659</v>
      </c>
      <c r="D59" s="7" t="s">
        <v>661</v>
      </c>
      <c r="E59" s="7" t="s">
        <v>662</v>
      </c>
      <c r="F59" s="7" t="s">
        <v>664</v>
      </c>
      <c r="G59" s="21" t="s">
        <v>67</v>
      </c>
      <c r="H59" s="7" t="s">
        <v>36</v>
      </c>
      <c r="I59" s="15" t="s">
        <v>44</v>
      </c>
      <c r="J59" s="16"/>
    </row>
    <row r="60" ht="15.75" customHeight="1">
      <c r="A60" s="7" t="s">
        <v>667</v>
      </c>
      <c r="B60" s="7" t="s">
        <v>658</v>
      </c>
      <c r="C60" s="9" t="s">
        <v>668</v>
      </c>
      <c r="D60" s="7" t="s">
        <v>669</v>
      </c>
      <c r="E60" s="7" t="s">
        <v>670</v>
      </c>
      <c r="F60" s="7" t="s">
        <v>672</v>
      </c>
      <c r="G60" s="21" t="s">
        <v>67</v>
      </c>
      <c r="H60" s="7" t="s">
        <v>187</v>
      </c>
      <c r="I60" s="15" t="s">
        <v>44</v>
      </c>
      <c r="J60" s="16"/>
    </row>
    <row r="61" ht="15.75" customHeight="1">
      <c r="A61" s="7" t="s">
        <v>677</v>
      </c>
      <c r="B61" s="7" t="s">
        <v>658</v>
      </c>
      <c r="C61" s="9" t="s">
        <v>678</v>
      </c>
      <c r="D61" s="7" t="s">
        <v>679</v>
      </c>
      <c r="E61" s="7" t="s">
        <v>681</v>
      </c>
      <c r="F61" s="7" t="s">
        <v>682</v>
      </c>
      <c r="G61" s="26" t="s">
        <v>71</v>
      </c>
      <c r="H61" s="7" t="s">
        <v>179</v>
      </c>
      <c r="I61" s="15" t="s">
        <v>181</v>
      </c>
      <c r="J61" s="16"/>
    </row>
    <row r="62" ht="15.75" customHeight="1">
      <c r="A62" s="7" t="s">
        <v>687</v>
      </c>
      <c r="B62" s="7" t="s">
        <v>658</v>
      </c>
      <c r="C62" s="9" t="s">
        <v>688</v>
      </c>
      <c r="D62" s="7" t="s">
        <v>690</v>
      </c>
      <c r="E62" s="7" t="s">
        <v>183</v>
      </c>
      <c r="F62" s="7" t="s">
        <v>692</v>
      </c>
      <c r="G62" s="26" t="s">
        <v>71</v>
      </c>
      <c r="H62" s="7" t="s">
        <v>179</v>
      </c>
      <c r="I62" s="15" t="s">
        <v>181</v>
      </c>
      <c r="J62" s="16"/>
    </row>
    <row r="63" ht="15.75" customHeight="1">
      <c r="A63" s="7" t="s">
        <v>696</v>
      </c>
      <c r="B63" s="7" t="s">
        <v>658</v>
      </c>
      <c r="C63" s="9" t="s">
        <v>698</v>
      </c>
      <c r="D63" s="7" t="s">
        <v>700</v>
      </c>
      <c r="E63" s="7" t="s">
        <v>702</v>
      </c>
      <c r="F63" s="7" t="s">
        <v>704</v>
      </c>
      <c r="G63" s="34" t="s">
        <v>81</v>
      </c>
      <c r="H63" s="7" t="s">
        <v>179</v>
      </c>
      <c r="I63" s="15" t="s">
        <v>181</v>
      </c>
      <c r="J63" s="16"/>
    </row>
    <row r="64" ht="15.75" customHeight="1">
      <c r="A64" s="7" t="s">
        <v>708</v>
      </c>
      <c r="B64" s="7" t="s">
        <v>658</v>
      </c>
      <c r="C64" s="9" t="s">
        <v>710</v>
      </c>
      <c r="D64" s="7" t="s">
        <v>712</v>
      </c>
      <c r="E64" s="7" t="s">
        <v>714</v>
      </c>
      <c r="F64" s="7" t="s">
        <v>716</v>
      </c>
      <c r="G64" s="34" t="s">
        <v>81</v>
      </c>
      <c r="H64" s="7" t="s">
        <v>289</v>
      </c>
      <c r="I64" s="15" t="s">
        <v>181</v>
      </c>
      <c r="J64" s="16"/>
    </row>
    <row r="65" ht="15.75" customHeight="1">
      <c r="A65" s="7" t="s">
        <v>717</v>
      </c>
      <c r="B65" s="7" t="s">
        <v>658</v>
      </c>
      <c r="C65" s="9" t="s">
        <v>719</v>
      </c>
      <c r="D65" s="7" t="s">
        <v>720</v>
      </c>
      <c r="E65" s="7" t="s">
        <v>722</v>
      </c>
      <c r="F65" s="7" t="s">
        <v>724</v>
      </c>
      <c r="G65" s="34" t="s">
        <v>81</v>
      </c>
      <c r="H65" s="7" t="s">
        <v>289</v>
      </c>
      <c r="I65" s="15" t="s">
        <v>181</v>
      </c>
      <c r="J65" s="16"/>
    </row>
    <row r="66" ht="15.75" customHeight="1">
      <c r="A66" s="7" t="s">
        <v>726</v>
      </c>
      <c r="B66" s="7" t="s">
        <v>658</v>
      </c>
      <c r="C66" s="9" t="s">
        <v>727</v>
      </c>
      <c r="D66" s="7" t="s">
        <v>728</v>
      </c>
      <c r="E66" s="7" t="s">
        <v>729</v>
      </c>
      <c r="F66" s="7" t="s">
        <v>731</v>
      </c>
      <c r="G66" s="30" t="s">
        <v>89</v>
      </c>
      <c r="H66" s="7" t="s">
        <v>289</v>
      </c>
      <c r="I66" s="15" t="s">
        <v>181</v>
      </c>
      <c r="J66" s="16"/>
    </row>
    <row r="67" ht="15.75" customHeight="1">
      <c r="A67" s="7" t="s">
        <v>736</v>
      </c>
      <c r="B67" s="7" t="s">
        <v>658</v>
      </c>
      <c r="C67" s="9" t="s">
        <v>737</v>
      </c>
      <c r="D67" s="7" t="s">
        <v>738</v>
      </c>
      <c r="E67" s="7" t="s">
        <v>739</v>
      </c>
      <c r="F67" s="7" t="s">
        <v>740</v>
      </c>
      <c r="G67" s="30" t="s">
        <v>89</v>
      </c>
      <c r="H67" s="7" t="s">
        <v>289</v>
      </c>
      <c r="I67" s="15" t="s">
        <v>181</v>
      </c>
      <c r="J67" s="1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67"/>
  <dataValidations>
    <dataValidation type="list" allowBlank="1" sqref="I2:I67">
      <formula1>"Approve,Reject,Later,Discuss"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55.0"/>
    <col customWidth="1" min="4" max="4" width="60.0"/>
    <col customWidth="1" min="5" max="26" width="8.71"/>
  </cols>
  <sheetData>
    <row r="1">
      <c r="A1" s="4" t="s">
        <v>392</v>
      </c>
      <c r="B1" s="4" t="s">
        <v>396</v>
      </c>
      <c r="C1" s="4" t="s">
        <v>400</v>
      </c>
      <c r="D1" s="4" t="s">
        <v>402</v>
      </c>
    </row>
    <row r="2">
      <c r="A2" s="7" t="s">
        <v>404</v>
      </c>
      <c r="B2" s="9" t="s">
        <v>411</v>
      </c>
      <c r="C2" s="7" t="s">
        <v>414</v>
      </c>
      <c r="D2" s="7" t="s">
        <v>416</v>
      </c>
    </row>
    <row r="3">
      <c r="A3" s="7" t="s">
        <v>404</v>
      </c>
      <c r="B3" s="9" t="s">
        <v>418</v>
      </c>
      <c r="C3" s="7" t="s">
        <v>421</v>
      </c>
      <c r="D3" s="7" t="s">
        <v>424</v>
      </c>
    </row>
    <row r="4">
      <c r="A4" s="7" t="s">
        <v>404</v>
      </c>
      <c r="B4" s="9" t="s">
        <v>428</v>
      </c>
      <c r="C4" s="7" t="s">
        <v>430</v>
      </c>
      <c r="D4" s="7" t="s">
        <v>434</v>
      </c>
    </row>
    <row r="5">
      <c r="A5" s="7" t="s">
        <v>404</v>
      </c>
      <c r="B5" s="9" t="s">
        <v>438</v>
      </c>
      <c r="C5" s="7" t="s">
        <v>439</v>
      </c>
      <c r="D5" s="7" t="s">
        <v>441</v>
      </c>
    </row>
    <row r="6">
      <c r="A6" s="7" t="s">
        <v>404</v>
      </c>
      <c r="B6" s="9" t="s">
        <v>444</v>
      </c>
      <c r="C6" s="7" t="s">
        <v>446</v>
      </c>
      <c r="D6" s="7" t="s">
        <v>451</v>
      </c>
    </row>
    <row r="7">
      <c r="A7" s="7" t="s">
        <v>404</v>
      </c>
      <c r="B7" s="9" t="s">
        <v>453</v>
      </c>
      <c r="C7" s="7" t="s">
        <v>454</v>
      </c>
      <c r="D7" s="7" t="s">
        <v>455</v>
      </c>
    </row>
    <row r="8">
      <c r="A8" s="7" t="s">
        <v>404</v>
      </c>
      <c r="B8" s="9" t="s">
        <v>458</v>
      </c>
      <c r="C8" s="7" t="s">
        <v>461</v>
      </c>
      <c r="D8" s="7" t="s">
        <v>464</v>
      </c>
    </row>
    <row r="9">
      <c r="A9" s="7" t="s">
        <v>404</v>
      </c>
      <c r="B9" s="9" t="s">
        <v>469</v>
      </c>
      <c r="C9" s="7" t="s">
        <v>470</v>
      </c>
      <c r="D9" s="7" t="s">
        <v>472</v>
      </c>
    </row>
    <row r="10">
      <c r="A10" s="7" t="s">
        <v>404</v>
      </c>
      <c r="B10" s="9" t="s">
        <v>479</v>
      </c>
      <c r="C10" s="7" t="s">
        <v>482</v>
      </c>
      <c r="D10" s="7" t="s">
        <v>484</v>
      </c>
    </row>
    <row r="11">
      <c r="A11" s="7" t="s">
        <v>404</v>
      </c>
      <c r="B11" s="9" t="s">
        <v>488</v>
      </c>
      <c r="C11" s="7" t="s">
        <v>490</v>
      </c>
      <c r="D11" s="7" t="s">
        <v>492</v>
      </c>
    </row>
    <row r="12">
      <c r="A12" s="7" t="s">
        <v>404</v>
      </c>
      <c r="B12" s="9" t="s">
        <v>495</v>
      </c>
      <c r="C12" s="7" t="s">
        <v>496</v>
      </c>
      <c r="D12" s="7" t="s">
        <v>497</v>
      </c>
    </row>
    <row r="13">
      <c r="A13" s="7" t="s">
        <v>404</v>
      </c>
      <c r="B13" s="9" t="s">
        <v>501</v>
      </c>
      <c r="C13" s="7" t="s">
        <v>502</v>
      </c>
      <c r="D13" s="7" t="s">
        <v>504</v>
      </c>
    </row>
    <row r="14">
      <c r="A14" s="7" t="s">
        <v>506</v>
      </c>
      <c r="B14" s="9" t="s">
        <v>507</v>
      </c>
      <c r="C14" s="7" t="s">
        <v>509</v>
      </c>
      <c r="D14" s="7" t="s">
        <v>512</v>
      </c>
    </row>
    <row r="15">
      <c r="A15" s="7" t="s">
        <v>506</v>
      </c>
      <c r="B15" s="9" t="s">
        <v>517</v>
      </c>
      <c r="C15" s="7" t="s">
        <v>519</v>
      </c>
      <c r="D15" s="7" t="s">
        <v>521</v>
      </c>
    </row>
    <row r="16">
      <c r="A16" s="7" t="s">
        <v>522</v>
      </c>
      <c r="B16" s="9" t="s">
        <v>523</v>
      </c>
      <c r="C16" s="7" t="s">
        <v>524</v>
      </c>
      <c r="D16" s="7" t="s">
        <v>527</v>
      </c>
    </row>
    <row r="17">
      <c r="A17" s="7" t="s">
        <v>522</v>
      </c>
      <c r="B17" s="9" t="s">
        <v>531</v>
      </c>
      <c r="C17" s="7" t="s">
        <v>534</v>
      </c>
      <c r="D17" s="7" t="s">
        <v>537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0"/>
    <col customWidth="1" min="2" max="2" width="80.0"/>
    <col customWidth="1" min="3" max="3" width="70.0"/>
    <col customWidth="1" min="4" max="26" width="8.71"/>
  </cols>
  <sheetData>
    <row r="1">
      <c r="A1" s="4" t="s">
        <v>778</v>
      </c>
      <c r="B1" s="4" t="s">
        <v>782</v>
      </c>
      <c r="C1" s="4" t="s">
        <v>784</v>
      </c>
    </row>
    <row r="2">
      <c r="A2" s="9" t="s">
        <v>785</v>
      </c>
      <c r="B2" s="7" t="s">
        <v>787</v>
      </c>
      <c r="C2" s="35" t="s">
        <v>790</v>
      </c>
    </row>
    <row r="3">
      <c r="A3" s="9" t="s">
        <v>816</v>
      </c>
      <c r="B3" s="7" t="s">
        <v>819</v>
      </c>
      <c r="C3" s="35" t="s">
        <v>821</v>
      </c>
    </row>
    <row r="4">
      <c r="A4" s="9" t="s">
        <v>832</v>
      </c>
      <c r="B4" s="7" t="s">
        <v>833</v>
      </c>
      <c r="C4" s="35" t="s">
        <v>836</v>
      </c>
    </row>
    <row r="5">
      <c r="A5" s="9" t="s">
        <v>848</v>
      </c>
      <c r="B5" s="7" t="s">
        <v>850</v>
      </c>
      <c r="C5" s="35" t="s">
        <v>851</v>
      </c>
    </row>
    <row r="6">
      <c r="A6" s="9" t="s">
        <v>863</v>
      </c>
      <c r="B6" s="7" t="s">
        <v>864</v>
      </c>
      <c r="C6" s="35" t="s">
        <v>866</v>
      </c>
    </row>
    <row r="7">
      <c r="A7" s="9" t="s">
        <v>880</v>
      </c>
      <c r="B7" s="7" t="s">
        <v>881</v>
      </c>
      <c r="C7" s="35" t="s">
        <v>882</v>
      </c>
    </row>
    <row r="8">
      <c r="A8" s="9" t="s">
        <v>892</v>
      </c>
      <c r="B8" s="7" t="s">
        <v>896</v>
      </c>
      <c r="C8" s="35" t="s">
        <v>898</v>
      </c>
    </row>
    <row r="9">
      <c r="A9" s="9" t="s">
        <v>914</v>
      </c>
      <c r="B9" s="7" t="s">
        <v>915</v>
      </c>
      <c r="C9" s="35" t="s">
        <v>916</v>
      </c>
    </row>
    <row r="10">
      <c r="A10" s="9" t="s">
        <v>936</v>
      </c>
      <c r="B10" s="7" t="s">
        <v>939</v>
      </c>
      <c r="C10" s="35" t="s">
        <v>940</v>
      </c>
    </row>
    <row r="11">
      <c r="A11" s="9" t="s">
        <v>953</v>
      </c>
      <c r="B11" s="7" t="s">
        <v>955</v>
      </c>
      <c r="C11" s="35" t="s">
        <v>957</v>
      </c>
    </row>
    <row r="12">
      <c r="A12" s="9" t="s">
        <v>968</v>
      </c>
      <c r="B12" s="7" t="s">
        <v>970</v>
      </c>
      <c r="C12" s="35" t="s">
        <v>973</v>
      </c>
    </row>
    <row r="13">
      <c r="A13" s="9" t="s">
        <v>981</v>
      </c>
      <c r="B13" s="7" t="s">
        <v>982</v>
      </c>
      <c r="C13" s="35" t="s">
        <v>985</v>
      </c>
    </row>
    <row r="14">
      <c r="A14" s="9" t="s">
        <v>999</v>
      </c>
      <c r="B14" s="7" t="s">
        <v>1000</v>
      </c>
      <c r="C14" s="35" t="s">
        <v>1001</v>
      </c>
    </row>
    <row r="15">
      <c r="A15" s="9" t="s">
        <v>1012</v>
      </c>
      <c r="B15" s="7" t="s">
        <v>1013</v>
      </c>
      <c r="C15" s="35" t="s">
        <v>1014</v>
      </c>
    </row>
    <row r="16">
      <c r="A16" s="9" t="s">
        <v>1030</v>
      </c>
      <c r="B16" s="7" t="s">
        <v>1031</v>
      </c>
      <c r="C16" s="35" t="s">
        <v>1032</v>
      </c>
    </row>
    <row r="17">
      <c r="A17" s="9" t="s">
        <v>1044</v>
      </c>
      <c r="B17" s="7" t="s">
        <v>1046</v>
      </c>
      <c r="C17" s="35" t="s">
        <v>1048</v>
      </c>
    </row>
    <row r="18">
      <c r="A18" s="9" t="s">
        <v>1065</v>
      </c>
      <c r="B18" s="7" t="s">
        <v>1066</v>
      </c>
      <c r="C18" s="35" t="s">
        <v>1067</v>
      </c>
    </row>
    <row r="19">
      <c r="A19" s="9" t="s">
        <v>1083</v>
      </c>
      <c r="B19" s="7" t="s">
        <v>1085</v>
      </c>
      <c r="C19" s="35" t="s">
        <v>1086</v>
      </c>
    </row>
    <row r="20">
      <c r="A20" s="9" t="s">
        <v>1095</v>
      </c>
      <c r="B20" s="7" t="s">
        <v>1096</v>
      </c>
      <c r="C20" s="35" t="s">
        <v>1098</v>
      </c>
    </row>
    <row r="21" ht="15.75" customHeight="1">
      <c r="A21" s="9" t="s">
        <v>1110</v>
      </c>
      <c r="B21" s="7" t="s">
        <v>1112</v>
      </c>
      <c r="C21" s="35" t="s">
        <v>1113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printOptions/>
  <pageMargins bottom="1.0" footer="0.0" header="0.0" left="0.75" right="0.75" top="1.0"/>
  <pageSetup paperSize="9" orientation="portrait"/>
  <drawing r:id="rId21"/>
</worksheet>
</file>